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te\Desktop\SchoolThings\CSULA\2022Fall\CS4961\DetectionScripts\"/>
    </mc:Choice>
  </mc:AlternateContent>
  <xr:revisionPtr revIDLastSave="0" documentId="13_ncr:40009_{A15A39A9-4A92-4A97-8261-7B75D7E6F09B}" xr6:coauthVersionLast="47" xr6:coauthVersionMax="47" xr10:uidLastSave="{00000000-0000-0000-0000-000000000000}"/>
  <bookViews>
    <workbookView xWindow="-24120" yWindow="-120" windowWidth="24240" windowHeight="13140" activeTab="1"/>
  </bookViews>
  <sheets>
    <sheet name="Model" sheetId="1" r:id="rId1"/>
    <sheet name="Data" sheetId="2" r:id="rId2"/>
    <sheet name="Info" sheetId="23" r:id="rId3"/>
    <sheet name="Chart 2" sheetId="33" r:id="rId4"/>
    <sheet name="Chart 1" sheetId="22" r:id="rId5"/>
    <sheet name="ML Data" sheetId="34" r:id="rId6"/>
  </sheets>
  <functionGroups builtInGroupCount="19"/>
  <definedNames>
    <definedName name="OLE_LINK1" localSheetId="2">Info!$A$55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2" l="1"/>
  <c r="E25" i="2"/>
  <c r="F25" i="2"/>
  <c r="G25" i="2"/>
  <c r="H25" i="2"/>
  <c r="C25" i="2"/>
  <c r="C6" i="2"/>
  <c r="C5" i="2"/>
  <c r="C4" i="2" s="1"/>
  <c r="C3" i="2" s="1"/>
  <c r="C2" i="2" s="1"/>
  <c r="D6" i="2"/>
  <c r="D5" i="2"/>
  <c r="D4" i="2" s="1"/>
  <c r="D3" i="2" s="1"/>
  <c r="D2" i="2" s="1"/>
  <c r="E6" i="2"/>
  <c r="E5" i="2"/>
  <c r="E4" i="2" s="1"/>
  <c r="E3" i="2" s="1"/>
  <c r="E2" i="2" s="1"/>
  <c r="F6" i="2"/>
  <c r="F5" i="2"/>
  <c r="F4" i="2" s="1"/>
  <c r="F3" i="2" s="1"/>
  <c r="F2" i="2" s="1"/>
  <c r="G6" i="2"/>
  <c r="G5" i="2" s="1"/>
  <c r="G4" i="2" s="1"/>
  <c r="G3" i="2" s="1"/>
  <c r="G2" i="2" s="1"/>
  <c r="H6" i="2"/>
  <c r="H5" i="2"/>
  <c r="H4" i="2"/>
  <c r="H3" i="2" s="1"/>
  <c r="H2" i="2" s="1"/>
</calcChain>
</file>

<file path=xl/sharedStrings.xml><?xml version="1.0" encoding="utf-8"?>
<sst xmlns="http://schemas.openxmlformats.org/spreadsheetml/2006/main" count="212" uniqueCount="188">
  <si>
    <t>Temp deg C</t>
  </si>
  <si>
    <t>Freq, Hz</t>
  </si>
  <si>
    <t>Freq Hz</t>
  </si>
  <si>
    <t>Jungle Day</t>
  </si>
  <si>
    <t>Jungle Night</t>
  </si>
  <si>
    <t>Desert Low Wind</t>
  </si>
  <si>
    <t>Desert Moderate Wind</t>
  </si>
  <si>
    <t>Urban</t>
  </si>
  <si>
    <t>TACOM Default</t>
  </si>
  <si>
    <t>MIL_STD 1474</t>
  </si>
  <si>
    <t>TACOM '77 #12292</t>
  </si>
  <si>
    <t>Upper Limit Rural EPA</t>
  </si>
  <si>
    <t>Lower Limit Rural EPA</t>
  </si>
  <si>
    <t>Grand Canyon Wilder-ness Critical</t>
  </si>
  <si>
    <t>NATO</t>
  </si>
  <si>
    <t>STANAG (Future Main Battle Tank)</t>
  </si>
  <si>
    <t>BBN Noisy Jungle</t>
  </si>
  <si>
    <t>1.5-2.4 years service time</t>
  </si>
  <si>
    <t>7.5-12.4 years service time</t>
  </si>
  <si>
    <t>17.5-22.4 years service time</t>
  </si>
  <si>
    <t>Poor + Temp Threshold Shift</t>
  </si>
  <si>
    <t>Avg REAT EAR form plug</t>
  </si>
  <si>
    <t>B3 Array for TSD calc</t>
  </si>
  <si>
    <t>Awt weights</t>
  </si>
  <si>
    <t>Cwt weights</t>
  </si>
  <si>
    <t>Measurement Conditions</t>
  </si>
  <si>
    <t>Sigma</t>
  </si>
  <si>
    <t>Em2</t>
  </si>
  <si>
    <t>Detection Conditions</t>
  </si>
  <si>
    <t>Freq (Hz)</t>
  </si>
  <si>
    <t>Level (dB)</t>
  </si>
  <si>
    <t>Pinv</t>
  </si>
  <si>
    <t>Ba</t>
  </si>
  <si>
    <t>Fo</t>
  </si>
  <si>
    <t>1K</t>
  </si>
  <si>
    <t>2K</t>
  </si>
  <si>
    <t>4K</t>
  </si>
  <si>
    <t>8K</t>
  </si>
  <si>
    <t>Barrier dist m</t>
  </si>
  <si>
    <t>Foliage dist m</t>
  </si>
  <si>
    <t>Foliage depth m</t>
  </si>
  <si>
    <t>Barrier heigt m</t>
  </si>
  <si>
    <t>Leaf area per unit vol m^-1</t>
  </si>
  <si>
    <t>Avg leaf width cm</t>
  </si>
  <si>
    <t>Ge</t>
  </si>
  <si>
    <t>RH       %</t>
  </si>
  <si>
    <t>ISO Std</t>
  </si>
  <si>
    <t>Poor hearing Aud- Hdcp</t>
  </si>
  <si>
    <t>Bkg</t>
  </si>
  <si>
    <t>Target</t>
  </si>
  <si>
    <t>H Thrsh</t>
  </si>
  <si>
    <t>Efficiency</t>
  </si>
  <si>
    <t>Hit Probability</t>
  </si>
  <si>
    <t>False Alarm Rate</t>
  </si>
  <si>
    <t>d' statistic</t>
  </si>
  <si>
    <t>Foliage?( 0 or 1)</t>
  </si>
  <si>
    <t>Barrier? ( 0 or 1)</t>
  </si>
  <si>
    <t>Up</t>
  </si>
  <si>
    <t>Met Conditn</t>
  </si>
  <si>
    <t>Novice Expert? ( 0 or 1)</t>
  </si>
  <si>
    <t>Given dBA?</t>
  </si>
  <si>
    <t>At Abs</t>
  </si>
  <si>
    <t xml:space="preserve"> </t>
  </si>
  <si>
    <t>Wind Speed (m/s)</t>
  </si>
  <si>
    <t>Up or Down Wind? (0 or 1)</t>
  </si>
  <si>
    <t>Refract</t>
  </si>
  <si>
    <t>Source height m</t>
  </si>
  <si>
    <t>Mic height     m</t>
  </si>
  <si>
    <t>Mic dist source m</t>
  </si>
  <si>
    <t>Listner heigt m</t>
  </si>
  <si>
    <t>RH    %</t>
  </si>
  <si>
    <t>Listener   Conditions</t>
  </si>
  <si>
    <t>Given listner dist?</t>
  </si>
  <si>
    <t>Bkg CB</t>
  </si>
  <si>
    <t>Max Bkg/Thr</t>
  </si>
  <si>
    <t>Atmosphere Refraction?  ( 0 or 1)</t>
  </si>
  <si>
    <t>Target Level (dBA)</t>
  </si>
  <si>
    <t>Detect Level (dBA)</t>
  </si>
  <si>
    <t>Background Noise Level (dBA)</t>
  </si>
  <si>
    <t>Enter number from Data Sheet, or 0 for custom data</t>
  </si>
  <si>
    <t>Column:</t>
  </si>
  <si>
    <t>Monaural Binaural? (0 or 1)</t>
  </si>
  <si>
    <t>S2</t>
  </si>
  <si>
    <t>S2a</t>
  </si>
  <si>
    <t>S7</t>
  </si>
  <si>
    <t>Whisper</t>
  </si>
  <si>
    <t>Normal</t>
  </si>
  <si>
    <t>Raised</t>
  </si>
  <si>
    <t>Loud</t>
  </si>
  <si>
    <t>Shouted</t>
  </si>
  <si>
    <t>Idealized</t>
  </si>
  <si>
    <t>M60 Tank idling at 30 meters</t>
  </si>
  <si>
    <t>A.I. weights</t>
  </si>
  <si>
    <t>1/3 OB weights for masking bands to calculate critical bands centered on the middle of each group of five 1/3 octave bands</t>
  </si>
  <si>
    <t>Lsnr CB</t>
  </si>
  <si>
    <t>Listener</t>
  </si>
  <si>
    <t>MicDist</t>
  </si>
  <si>
    <t>Field corn (two densities)</t>
  </si>
  <si>
    <t>Tidal reeds</t>
  </si>
  <si>
    <t>Dense hardwood brush</t>
  </si>
  <si>
    <t>F = Leaf area per unit volume in m^-1</t>
  </si>
  <si>
    <t>a = Average leaf width in cm.</t>
  </si>
  <si>
    <t>3  to  6.3                         3                             0.5</t>
  </si>
  <si>
    <t>7.4                      3.2                             5</t>
  </si>
  <si>
    <t>Aylor  Foliage  Absorption        Type  of  Planting</t>
  </si>
  <si>
    <t>Values of Sigma for Various Surface Types</t>
  </si>
  <si>
    <t>20 to 80</t>
  </si>
  <si>
    <t>50 to 100</t>
  </si>
  <si>
    <t>75 to 150</t>
  </si>
  <si>
    <t>200 to 350</t>
  </si>
  <si>
    <t>150 to 300</t>
  </si>
  <si>
    <t>300 to 800</t>
  </si>
  <si>
    <t>800 - 2.5K</t>
  </si>
  <si>
    <t>10 to 30</t>
  </si>
  <si>
    <t>25 to 30</t>
  </si>
  <si>
    <t>1.5K - 4K</t>
  </si>
  <si>
    <t>2K - 4K</t>
  </si>
  <si>
    <t>4K - 8K</t>
  </si>
  <si>
    <t>5K - 20K</t>
  </si>
  <si>
    <t>&gt; 20K</t>
  </si>
  <si>
    <t>Dry Snow, New Fallen, 4"</t>
  </si>
  <si>
    <t>Sugar Snow</t>
  </si>
  <si>
    <t>Freshly Disced Sand</t>
  </si>
  <si>
    <t>In Forest, Pine or Hemlock</t>
  </si>
  <si>
    <t>Freshly Plowed Field</t>
  </si>
  <si>
    <t>Recently Plowed Field with Dense Stand of Grass (moisture dependent)</t>
  </si>
  <si>
    <t>Bare Field (Plowed - moisture dependent)</t>
  </si>
  <si>
    <t>Institutional Grass</t>
  </si>
  <si>
    <t>Roadside Dirt, Small Rocks up to 4"</t>
  </si>
  <si>
    <t>Sandy Silt, Hard Packed by Vehicles</t>
  </si>
  <si>
    <t>"Clean" Limestone Chips, Thick Layer (1/2 to 1 inch)</t>
  </si>
  <si>
    <t>Old Dirt Roadway, Fine Stones</t>
  </si>
  <si>
    <t>Earth, Exposed and Rain-Packed</t>
  </si>
  <si>
    <t>Quarry Dirt, Fine, Very Hard Packed</t>
  </si>
  <si>
    <t>Asphalt, Sealed by Dirt and Use</t>
  </si>
  <si>
    <t>Neutral Profiles</t>
  </si>
  <si>
    <t>Isothermal (old HEL)</t>
  </si>
  <si>
    <t>Midlatitude, summer</t>
  </si>
  <si>
    <t>Midlatitude, winter</t>
  </si>
  <si>
    <t>Tropical, moist</t>
  </si>
  <si>
    <t>Stable Profiles</t>
  </si>
  <si>
    <t>Weather Condition</t>
  </si>
  <si>
    <t>Avg Wind</t>
  </si>
  <si>
    <t xml:space="preserve">Surface </t>
  </si>
  <si>
    <t>Temp</t>
  </si>
  <si>
    <t>deg C</t>
  </si>
  <si>
    <t>Unstable Profiles</t>
  </si>
  <si>
    <t>Midlat, summer night</t>
  </si>
  <si>
    <t>Midlat, winter night</t>
  </si>
  <si>
    <t>Desert, summer night</t>
  </si>
  <si>
    <t>Desert winter night</t>
  </si>
  <si>
    <t>Tropical, moist, night</t>
  </si>
  <si>
    <t>Midlat, summer day</t>
  </si>
  <si>
    <t>Midlat, winter day</t>
  </si>
  <si>
    <t>Desert,summer day</t>
  </si>
  <si>
    <t>Desert, winter day</t>
  </si>
  <si>
    <t>Tropical, moist, day</t>
  </si>
  <si>
    <t>Gradient</t>
  </si>
  <si>
    <t>Height</t>
  </si>
  <si>
    <t>&gt;40</t>
  </si>
  <si>
    <t>&gt;50</t>
  </si>
  <si>
    <t>&gt;120</t>
  </si>
  <si>
    <t>m</t>
  </si>
  <si>
    <t>deg C / m</t>
  </si>
  <si>
    <t>&gt;165</t>
  </si>
  <si>
    <t>&gt;25</t>
  </si>
  <si>
    <t>&gt;175</t>
  </si>
  <si>
    <t>Upward</t>
  </si>
  <si>
    <t>K</t>
  </si>
  <si>
    <t>a</t>
  </si>
  <si>
    <t xml:space="preserve">M </t>
  </si>
  <si>
    <t>b</t>
  </si>
  <si>
    <t>Downward</t>
  </si>
  <si>
    <t>Upward refraction: propagating into the wind</t>
  </si>
  <si>
    <t>Listener Upwind-Upward Refraction</t>
  </si>
  <si>
    <t>Listener Downwind-Downward Refraction</t>
  </si>
  <si>
    <t>Felt's Representative Atmospheric Profiles  and   Calculated Parameters  by  Ray-Tracing  Analysis</t>
  </si>
  <si>
    <t>Thermal Gradient Profile</t>
  </si>
  <si>
    <t>velocity m / s @10m</t>
  </si>
  <si>
    <t>1. Set cell B6=1, Cell C6=17, Cell D6=22 for M-60 tank idling at 30 meters in Lower Limit Rural EPA noise.  Hit Detect Distance Button at cell A4. Results at E32:E37.</t>
  </si>
  <si>
    <t>3. Set Cell B6=3, Cell C6=17, Cell C4=2.  Hit Speech Intelligibility button at G4 to get value at several intelligibility values at 2 m in Lower Rural noise at Range K32:K37.</t>
  </si>
  <si>
    <t>2. Set Cell B6=0, cell C6=17, Cell D6=22, Cell C3=10 and Cell C4=100.  Hit Non-Detect Spectrum button at B4 to get Aural Non-Det at 100m with limits measured at 10m. See MIL-STD1474 Table 2-1.  Read Results at Target Range B8:B31.</t>
  </si>
  <si>
    <t>Examples: Enter data completely before hitting one of the command buttons.</t>
  </si>
  <si>
    <t>4. Set Cell B6=1, Cell C6=17, Cell D6=22, Cell C4=100.  Hit Level &amp; Losses at Distance button at Cell D4.</t>
  </si>
  <si>
    <t>Detect Distance (m)</t>
  </si>
  <si>
    <t>Detect Frequency (Hz)</t>
  </si>
  <si>
    <t>Detect 1/3 Oct Band Level</t>
  </si>
  <si>
    <t>Drone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</si>
</sst>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"/>
    <numFmt numFmtId="165" formatCode="0.0E+00"/>
    <numFmt numFmtId="167" formatCode="0.0000"/>
    <numFmt numFmtId="168" formatCode="0.000"/>
  </numFmts>
  <fonts count="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</font>
    <font>
      <sz val="8"/>
      <name val="Arial"/>
    </font>
    <font>
      <b/>
      <sz val="10"/>
      <name val="Arial"/>
    </font>
    <font>
      <sz val="12"/>
      <name val="Times New Roman"/>
      <family val="1"/>
    </font>
    <font>
      <sz val="10"/>
      <color indexed="8"/>
      <name val="Arial"/>
    </font>
  </fonts>
  <fills count="9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1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Fill="1"/>
    <xf numFmtId="0" fontId="0" fillId="0" borderId="0" xfId="0" applyBorder="1" applyAlignment="1">
      <alignment horizontal="center"/>
    </xf>
    <xf numFmtId="164" fontId="0" fillId="0" borderId="0" xfId="0" applyNumberFormat="1"/>
    <xf numFmtId="0" fontId="0" fillId="2" borderId="1" xfId="0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4" fontId="4" fillId="0" borderId="0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0" xfId="0" applyFill="1" applyBorder="1" applyAlignment="1">
      <alignment horizontal="center" vertical="center" wrapText="1"/>
    </xf>
    <xf numFmtId="0" fontId="0" fillId="0" borderId="6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0" fillId="0" borderId="11" xfId="0" applyBorder="1"/>
    <xf numFmtId="0" fontId="0" fillId="0" borderId="9" xfId="0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13" xfId="0" applyFill="1" applyBorder="1"/>
    <xf numFmtId="0" fontId="0" fillId="0" borderId="5" xfId="0" applyFill="1" applyBorder="1"/>
    <xf numFmtId="0" fontId="0" fillId="0" borderId="13" xfId="0" applyFill="1" applyBorder="1" applyAlignment="1">
      <alignment horizontal="left"/>
    </xf>
    <xf numFmtId="0" fontId="0" fillId="0" borderId="4" xfId="0" applyFill="1" applyBorder="1" applyAlignment="1">
      <alignment horizontal="center"/>
    </xf>
    <xf numFmtId="0" fontId="0" fillId="0" borderId="5" xfId="0" applyBorder="1"/>
    <xf numFmtId="0" fontId="0" fillId="0" borderId="9" xfId="0" applyBorder="1" applyAlignment="1">
      <alignment horizontal="center"/>
    </xf>
    <xf numFmtId="165" fontId="0" fillId="0" borderId="0" xfId="0" applyNumberFormat="1" applyBorder="1"/>
    <xf numFmtId="0" fontId="0" fillId="0" borderId="0" xfId="0" applyFill="1" applyBorder="1" applyAlignment="1">
      <alignment horizontal="center"/>
    </xf>
    <xf numFmtId="0" fontId="0" fillId="0" borderId="6" xfId="0" applyFill="1" applyBorder="1" applyAlignment="1"/>
    <xf numFmtId="0" fontId="0" fillId="0" borderId="10" xfId="0" applyBorder="1"/>
    <xf numFmtId="0" fontId="0" fillId="0" borderId="7" xfId="0" applyBorder="1"/>
    <xf numFmtId="0" fontId="0" fillId="0" borderId="14" xfId="0" applyBorder="1"/>
    <xf numFmtId="0" fontId="0" fillId="0" borderId="10" xfId="0" applyBorder="1" applyAlignment="1">
      <alignment horizontal="center"/>
    </xf>
    <xf numFmtId="0" fontId="0" fillId="0" borderId="15" xfId="0" applyFill="1" applyBorder="1"/>
    <xf numFmtId="0" fontId="0" fillId="0" borderId="3" xfId="0" applyFill="1" applyBorder="1" applyAlignment="1"/>
    <xf numFmtId="0" fontId="0" fillId="0" borderId="15" xfId="0" applyFill="1" applyBorder="1" applyAlignment="1"/>
    <xf numFmtId="0" fontId="0" fillId="0" borderId="0" xfId="0" applyFill="1" applyBorder="1" applyAlignment="1"/>
    <xf numFmtId="0" fontId="0" fillId="0" borderId="3" xfId="0" applyBorder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 vertical="center" wrapText="1"/>
    </xf>
    <xf numFmtId="0" fontId="0" fillId="0" borderId="12" xfId="0" applyFill="1" applyBorder="1" applyAlignment="1">
      <alignment horizontal="center"/>
    </xf>
    <xf numFmtId="165" fontId="0" fillId="0" borderId="14" xfId="0" applyNumberFormat="1" applyBorder="1"/>
    <xf numFmtId="0" fontId="0" fillId="3" borderId="1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23" xfId="0" applyBorder="1" applyAlignment="1">
      <alignment horizontal="center"/>
    </xf>
    <xf numFmtId="164" fontId="0" fillId="5" borderId="0" xfId="0" applyNumberFormat="1" applyFill="1" applyBorder="1" applyAlignment="1">
      <alignment horizontal="center"/>
    </xf>
    <xf numFmtId="164" fontId="0" fillId="6" borderId="0" xfId="0" applyNumberFormat="1" applyFill="1" applyBorder="1" applyAlignment="1">
      <alignment horizontal="center"/>
    </xf>
    <xf numFmtId="164" fontId="0" fillId="7" borderId="0" xfId="0" applyNumberForma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164" fontId="0" fillId="5" borderId="4" xfId="0" applyNumberFormat="1" applyFill="1" applyBorder="1" applyAlignment="1">
      <alignment horizontal="center"/>
    </xf>
    <xf numFmtId="164" fontId="0" fillId="6" borderId="4" xfId="0" applyNumberFormat="1" applyFill="1" applyBorder="1" applyAlignment="1">
      <alignment horizontal="center"/>
    </xf>
    <xf numFmtId="164" fontId="0" fillId="7" borderId="4" xfId="0" applyNumberForma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7" fillId="0" borderId="0" xfId="0" applyFont="1"/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21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4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" fillId="0" borderId="15" xfId="0" applyFont="1" applyBorder="1" applyAlignment="1">
      <alignment horizontal="center"/>
    </xf>
    <xf numFmtId="164" fontId="4" fillId="0" borderId="15" xfId="0" applyNumberFormat="1" applyFont="1" applyBorder="1" applyAlignment="1">
      <alignment horizontal="center"/>
    </xf>
    <xf numFmtId="0" fontId="0" fillId="0" borderId="23" xfId="0" applyFill="1" applyBorder="1" applyAlignment="1">
      <alignment horizontal="center" wrapText="1"/>
    </xf>
    <xf numFmtId="0" fontId="0" fillId="0" borderId="18" xfId="0" applyBorder="1" applyAlignment="1">
      <alignment horizontal="center"/>
    </xf>
    <xf numFmtId="0" fontId="4" fillId="0" borderId="22" xfId="0" applyFont="1" applyBorder="1" applyAlignment="1">
      <alignment horizontal="center"/>
    </xf>
    <xf numFmtId="164" fontId="4" fillId="0" borderId="2" xfId="0" applyNumberFormat="1" applyFont="1" applyBorder="1" applyAlignment="1">
      <alignment horizontal="center"/>
    </xf>
    <xf numFmtId="164" fontId="4" fillId="0" borderId="21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18" xfId="0" applyFont="1" applyBorder="1" applyAlignment="1">
      <alignment horizontal="center"/>
    </xf>
    <xf numFmtId="164" fontId="4" fillId="0" borderId="4" xfId="0" applyNumberFormat="1" applyFont="1" applyBorder="1" applyAlignment="1">
      <alignment horizontal="center"/>
    </xf>
    <xf numFmtId="164" fontId="4" fillId="0" borderId="13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2" xfId="0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164" fontId="4" fillId="0" borderId="0" xfId="0" applyNumberFormat="1" applyFont="1" applyFill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164" fontId="0" fillId="0" borderId="15" xfId="0" applyNumberFormat="1" applyFill="1" applyBorder="1" applyAlignment="1">
      <alignment horizontal="left"/>
    </xf>
    <xf numFmtId="0" fontId="0" fillId="0" borderId="15" xfId="0" applyFill="1" applyBorder="1" applyAlignment="1">
      <alignment horizontal="left"/>
    </xf>
    <xf numFmtId="0" fontId="0" fillId="0" borderId="0" xfId="0" applyNumberFormat="1"/>
    <xf numFmtId="0" fontId="0" fillId="0" borderId="0" xfId="0" applyNumberFormat="1" applyAlignment="1">
      <alignment horizontal="center"/>
    </xf>
    <xf numFmtId="0" fontId="0" fillId="8" borderId="27" xfId="0" applyFill="1" applyBorder="1"/>
    <xf numFmtId="0" fontId="0" fillId="8" borderId="28" xfId="0" applyFill="1" applyBorder="1"/>
    <xf numFmtId="0" fontId="0" fillId="8" borderId="29" xfId="0" applyFill="1" applyBorder="1"/>
    <xf numFmtId="0" fontId="0" fillId="8" borderId="30" xfId="0" applyFill="1" applyBorder="1"/>
    <xf numFmtId="0" fontId="0" fillId="8" borderId="0" xfId="0" applyFill="1" applyBorder="1"/>
    <xf numFmtId="0" fontId="0" fillId="8" borderId="31" xfId="0" applyFill="1" applyBorder="1"/>
    <xf numFmtId="0" fontId="0" fillId="8" borderId="32" xfId="0" applyFill="1" applyBorder="1"/>
    <xf numFmtId="0" fontId="0" fillId="8" borderId="33" xfId="0" applyFill="1" applyBorder="1"/>
    <xf numFmtId="0" fontId="0" fillId="8" borderId="34" xfId="0" applyFill="1" applyBorder="1"/>
    <xf numFmtId="0" fontId="0" fillId="8" borderId="27" xfId="0" applyNumberFormat="1" applyFill="1" applyBorder="1" applyAlignment="1">
      <alignment horizontal="center"/>
    </xf>
    <xf numFmtId="0" fontId="0" fillId="8" borderId="30" xfId="0" applyNumberFormat="1" applyFill="1" applyBorder="1" applyAlignment="1">
      <alignment horizontal="center"/>
    </xf>
    <xf numFmtId="0" fontId="0" fillId="8" borderId="32" xfId="0" applyNumberFormat="1" applyFill="1" applyBorder="1" applyAlignment="1">
      <alignment horizontal="center"/>
    </xf>
    <xf numFmtId="0" fontId="0" fillId="8" borderId="27" xfId="0" applyFill="1" applyBorder="1" applyAlignment="1">
      <alignment horizontal="left" indent="1"/>
    </xf>
    <xf numFmtId="0" fontId="0" fillId="8" borderId="30" xfId="0" applyFill="1" applyBorder="1" applyAlignment="1">
      <alignment horizontal="left" indent="1"/>
    </xf>
    <xf numFmtId="0" fontId="0" fillId="8" borderId="32" xfId="0" applyFill="1" applyBorder="1" applyAlignment="1">
      <alignment horizontal="left" indent="1"/>
    </xf>
    <xf numFmtId="0" fontId="0" fillId="8" borderId="0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22" xfId="0" applyFill="1" applyBorder="1" applyAlignment="1">
      <alignment horizontal="center"/>
    </xf>
    <xf numFmtId="0" fontId="0" fillId="8" borderId="21" xfId="0" applyFill="1" applyBorder="1" applyAlignment="1">
      <alignment horizontal="center"/>
    </xf>
    <xf numFmtId="0" fontId="0" fillId="8" borderId="23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15" xfId="0" applyFill="1" applyBorder="1"/>
    <xf numFmtId="0" fontId="0" fillId="8" borderId="3" xfId="0" applyFill="1" applyBorder="1"/>
    <xf numFmtId="0" fontId="0" fillId="8" borderId="20" xfId="0" applyFill="1" applyBorder="1" applyAlignment="1">
      <alignment horizontal="center"/>
    </xf>
    <xf numFmtId="164" fontId="0" fillId="8" borderId="20" xfId="0" applyNumberFormat="1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8" borderId="36" xfId="0" applyFill="1" applyBorder="1"/>
    <xf numFmtId="0" fontId="0" fillId="8" borderId="37" xfId="0" applyFill="1" applyBorder="1"/>
    <xf numFmtId="164" fontId="0" fillId="8" borderId="38" xfId="0" applyNumberFormat="1" applyFill="1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19" xfId="0" applyFill="1" applyBorder="1"/>
    <xf numFmtId="0" fontId="0" fillId="8" borderId="25" xfId="0" applyFill="1" applyBorder="1"/>
    <xf numFmtId="164" fontId="0" fillId="8" borderId="1" xfId="0" applyNumberFormat="1" applyFill="1" applyBorder="1" applyAlignment="1">
      <alignment horizontal="center"/>
    </xf>
    <xf numFmtId="0" fontId="0" fillId="8" borderId="24" xfId="0" applyFill="1" applyBorder="1"/>
    <xf numFmtId="167" fontId="0" fillId="8" borderId="15" xfId="0" applyNumberFormat="1" applyFill="1" applyBorder="1" applyAlignment="1">
      <alignment horizontal="center"/>
    </xf>
    <xf numFmtId="167" fontId="0" fillId="8" borderId="13" xfId="0" applyNumberFormat="1" applyFill="1" applyBorder="1" applyAlignment="1">
      <alignment horizontal="center"/>
    </xf>
    <xf numFmtId="167" fontId="0" fillId="8" borderId="3" xfId="0" applyNumberFormat="1" applyFill="1" applyBorder="1" applyAlignment="1">
      <alignment horizontal="center"/>
    </xf>
    <xf numFmtId="167" fontId="0" fillId="8" borderId="5" xfId="0" applyNumberFormat="1" applyFill="1" applyBorder="1" applyAlignment="1">
      <alignment horizontal="center"/>
    </xf>
    <xf numFmtId="0" fontId="0" fillId="4" borderId="19" xfId="0" applyFill="1" applyBorder="1"/>
    <xf numFmtId="0" fontId="0" fillId="4" borderId="25" xfId="0" applyFill="1" applyBorder="1"/>
    <xf numFmtId="164" fontId="0" fillId="4" borderId="1" xfId="0" applyNumberForma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167" fontId="0" fillId="4" borderId="19" xfId="0" applyNumberFormat="1" applyFill="1" applyBorder="1" applyAlignment="1">
      <alignment horizontal="center"/>
    </xf>
    <xf numFmtId="167" fontId="0" fillId="4" borderId="25" xfId="0" applyNumberFormat="1" applyFill="1" applyBorder="1" applyAlignment="1">
      <alignment horizontal="center"/>
    </xf>
    <xf numFmtId="0" fontId="0" fillId="4" borderId="24" xfId="0" applyFill="1" applyBorder="1"/>
    <xf numFmtId="0" fontId="0" fillId="4" borderId="25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167" fontId="0" fillId="8" borderId="0" xfId="0" applyNumberFormat="1" applyFill="1" applyBorder="1"/>
    <xf numFmtId="167" fontId="0" fillId="4" borderId="24" xfId="0" applyNumberFormat="1" applyFill="1" applyBorder="1"/>
    <xf numFmtId="0" fontId="0" fillId="8" borderId="39" xfId="0" applyFill="1" applyBorder="1"/>
    <xf numFmtId="0" fontId="0" fillId="8" borderId="40" xfId="0" applyFill="1" applyBorder="1" applyAlignment="1">
      <alignment horizontal="center"/>
    </xf>
    <xf numFmtId="167" fontId="0" fillId="8" borderId="31" xfId="0" applyNumberFormat="1" applyFill="1" applyBorder="1" applyAlignment="1">
      <alignment horizontal="center"/>
    </xf>
    <xf numFmtId="167" fontId="0" fillId="4" borderId="40" xfId="0" applyNumberFormat="1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167" fontId="0" fillId="8" borderId="36" xfId="0" applyNumberFormat="1" applyFill="1" applyBorder="1" applyAlignment="1">
      <alignment horizontal="center"/>
    </xf>
    <xf numFmtId="167" fontId="0" fillId="8" borderId="37" xfId="0" applyNumberFormat="1" applyFill="1" applyBorder="1" applyAlignment="1">
      <alignment horizontal="center"/>
    </xf>
    <xf numFmtId="167" fontId="0" fillId="8" borderId="33" xfId="0" applyNumberFormat="1" applyFill="1" applyBorder="1"/>
    <xf numFmtId="167" fontId="0" fillId="8" borderId="34" xfId="0" applyNumberFormat="1" applyFill="1" applyBorder="1" applyAlignment="1">
      <alignment horizontal="center"/>
    </xf>
    <xf numFmtId="0" fontId="0" fillId="4" borderId="40" xfId="0" applyFill="1" applyBorder="1"/>
    <xf numFmtId="0" fontId="0" fillId="8" borderId="19" xfId="0" applyNumberFormat="1" applyFill="1" applyBorder="1" applyAlignment="1">
      <alignment horizontal="center"/>
    </xf>
    <xf numFmtId="168" fontId="0" fillId="8" borderId="15" xfId="0" applyNumberFormat="1" applyFill="1" applyBorder="1" applyAlignment="1">
      <alignment horizontal="center"/>
    </xf>
    <xf numFmtId="168" fontId="0" fillId="4" borderId="19" xfId="0" applyNumberFormat="1" applyFill="1" applyBorder="1" applyAlignment="1">
      <alignment horizontal="center"/>
    </xf>
    <xf numFmtId="168" fontId="0" fillId="8" borderId="36" xfId="0" applyNumberFormat="1" applyFill="1" applyBorder="1" applyAlignment="1">
      <alignment horizontal="center"/>
    </xf>
    <xf numFmtId="168" fontId="0" fillId="8" borderId="15" xfId="0" applyNumberFormat="1" applyFill="1" applyBorder="1"/>
    <xf numFmtId="0" fontId="0" fillId="4" borderId="25" xfId="0" applyFill="1" applyBorder="1" applyAlignment="1">
      <alignment horizontal="left" indent="1"/>
    </xf>
    <xf numFmtId="0" fontId="0" fillId="8" borderId="3" xfId="0" applyFill="1" applyBorder="1" applyAlignment="1">
      <alignment horizontal="right" indent="1"/>
    </xf>
    <xf numFmtId="0" fontId="0" fillId="8" borderId="37" xfId="0" applyFill="1" applyBorder="1" applyAlignment="1">
      <alignment horizontal="right" indent="1"/>
    </xf>
    <xf numFmtId="0" fontId="0" fillId="8" borderId="3" xfId="0" applyFill="1" applyBorder="1" applyAlignment="1">
      <alignment horizontal="right" indent="2"/>
    </xf>
    <xf numFmtId="0" fontId="0" fillId="8" borderId="37" xfId="0" applyFill="1" applyBorder="1" applyAlignment="1">
      <alignment horizontal="right" indent="2"/>
    </xf>
    <xf numFmtId="0" fontId="0" fillId="8" borderId="0" xfId="0" applyFill="1" applyBorder="1" applyAlignment="1">
      <alignment horizontal="right" indent="1"/>
    </xf>
    <xf numFmtId="0" fontId="0" fillId="8" borderId="33" xfId="0" applyFill="1" applyBorder="1" applyAlignment="1">
      <alignment horizontal="right" indent="1"/>
    </xf>
    <xf numFmtId="0" fontId="0" fillId="8" borderId="28" xfId="0" applyFill="1" applyBorder="1" applyAlignment="1">
      <alignment horizontal="center"/>
    </xf>
    <xf numFmtId="0" fontId="0" fillId="8" borderId="39" xfId="0" applyNumberFormat="1" applyFill="1" applyBorder="1" applyAlignment="1">
      <alignment horizontal="center"/>
    </xf>
    <xf numFmtId="0" fontId="0" fillId="8" borderId="25" xfId="0" applyNumberFormat="1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0" fillId="8" borderId="15" xfId="0" applyFill="1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8" borderId="21" xfId="0" applyFill="1" applyBorder="1" applyAlignment="1">
      <alignment wrapText="1"/>
    </xf>
    <xf numFmtId="0" fontId="0" fillId="0" borderId="2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4" xfId="0" applyBorder="1" applyAlignment="1">
      <alignment wrapText="1"/>
    </xf>
    <xf numFmtId="0" fontId="0" fillId="8" borderId="24" xfId="0" applyFill="1" applyBorder="1" applyAlignment="1">
      <alignment horizontal="center"/>
    </xf>
    <xf numFmtId="0" fontId="0" fillId="8" borderId="15" xfId="0" applyFill="1" applyBorder="1" applyAlignment="1">
      <alignment horizontal="center" vertical="center" wrapText="1"/>
    </xf>
    <xf numFmtId="0" fontId="0" fillId="8" borderId="0" xfId="0" applyFill="1" applyBorder="1" applyAlignment="1">
      <alignment horizontal="center" vertical="center" wrapText="1"/>
    </xf>
    <xf numFmtId="0" fontId="0" fillId="8" borderId="21" xfId="0" applyFill="1" applyBorder="1" applyAlignment="1">
      <alignment horizontal="center" vertical="center" wrapText="1"/>
    </xf>
    <xf numFmtId="0" fontId="0" fillId="8" borderId="41" xfId="0" applyFill="1" applyBorder="1" applyAlignment="1">
      <alignment horizontal="center" vertical="center" wrapText="1"/>
    </xf>
    <xf numFmtId="0" fontId="0" fillId="8" borderId="13" xfId="0" applyFill="1" applyBorder="1" applyAlignment="1">
      <alignment horizontal="center" vertical="center" wrapText="1"/>
    </xf>
    <xf numFmtId="0" fontId="0" fillId="8" borderId="42" xfId="0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8" borderId="30" xfId="0" applyNumberFormat="1" applyFill="1" applyBorder="1" applyAlignment="1">
      <alignment horizontal="left"/>
    </xf>
    <xf numFmtId="164" fontId="0" fillId="0" borderId="0" xfId="0" applyNumberFormat="1" applyFill="1" applyBorder="1" applyAlignment="1">
      <alignment horizontal="center"/>
    </xf>
    <xf numFmtId="164" fontId="0" fillId="8" borderId="15" xfId="0" applyNumberFormat="1" applyFill="1" applyBorder="1" applyAlignment="1">
      <alignment horizontal="center"/>
    </xf>
    <xf numFmtId="164" fontId="0" fillId="8" borderId="0" xfId="0" applyNumberFormat="1" applyFill="1" applyBorder="1" applyAlignment="1">
      <alignment horizontal="center"/>
    </xf>
    <xf numFmtId="164" fontId="0" fillId="0" borderId="4" xfId="0" applyNumberFormat="1" applyFill="1" applyBorder="1" applyAlignment="1">
      <alignment horizontal="center"/>
    </xf>
    <xf numFmtId="164" fontId="0" fillId="8" borderId="13" xfId="0" applyNumberFormat="1" applyFill="1" applyBorder="1" applyAlignment="1">
      <alignment horizontal="center"/>
    </xf>
    <xf numFmtId="164" fontId="0" fillId="8" borderId="4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3" fillId="5" borderId="43" xfId="0" applyFont="1" applyFill="1" applyBorder="1" applyAlignment="1">
      <alignment horizontal="center" wrapText="1"/>
    </xf>
    <xf numFmtId="0" fontId="3" fillId="5" borderId="44" xfId="0" applyFont="1" applyFill="1" applyBorder="1" applyAlignment="1">
      <alignment horizontal="center" wrapText="1"/>
    </xf>
    <xf numFmtId="0" fontId="3" fillId="7" borderId="43" xfId="0" applyFont="1" applyFill="1" applyBorder="1" applyAlignment="1">
      <alignment horizontal="center" wrapText="1"/>
    </xf>
    <xf numFmtId="0" fontId="3" fillId="7" borderId="44" xfId="0" applyFont="1" applyFill="1" applyBorder="1" applyAlignment="1">
      <alignment horizontal="center" wrapText="1"/>
    </xf>
    <xf numFmtId="0" fontId="6" fillId="6" borderId="43" xfId="0" applyFont="1" applyFill="1" applyBorder="1" applyAlignment="1">
      <alignment horizontal="center" wrapText="1"/>
    </xf>
    <xf numFmtId="0" fontId="6" fillId="6" borderId="44" xfId="0" applyFont="1" applyFill="1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3" fillId="0" borderId="27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21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23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3" fillId="8" borderId="45" xfId="0" applyFont="1" applyFill="1" applyBorder="1" applyAlignment="1">
      <alignment horizontal="center"/>
    </xf>
    <xf numFmtId="0" fontId="3" fillId="8" borderId="46" xfId="0" applyFont="1" applyFill="1" applyBorder="1" applyAlignment="1">
      <alignment horizontal="center"/>
    </xf>
    <xf numFmtId="0" fontId="3" fillId="8" borderId="28" xfId="0" applyFont="1" applyFill="1" applyBorder="1" applyAlignment="1">
      <alignment horizontal="center"/>
    </xf>
    <xf numFmtId="0" fontId="3" fillId="8" borderId="47" xfId="0" applyFont="1" applyFill="1" applyBorder="1" applyAlignment="1">
      <alignment horizontal="center"/>
    </xf>
    <xf numFmtId="0" fontId="0" fillId="8" borderId="21" xfId="0" applyNumberFormat="1" applyFill="1" applyBorder="1" applyAlignment="1">
      <alignment horizontal="left" wrapText="1"/>
    </xf>
    <xf numFmtId="0" fontId="0" fillId="0" borderId="15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3" fillId="0" borderId="48" xfId="0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chartsheet" Target="chart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339622641509441E-2"/>
          <c:y val="2.7624359073504894E-2"/>
          <c:w val="0.89114658925979684"/>
          <c:h val="0.8821378664139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0643444605708754E-2"/>
                  <c:y val="2.7863977668588936E-2"/>
                </c:manualLayout>
              </c:layout>
              <c:tx>
                <c:strRef>
                  <c:f>Model!$C$46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{58615517-D70D-48EF-961E-2C541027A0B7}</c15:txfldGUID>
                      <c15:f>Model!$C$46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7BF-47D4-934F-771C2D0718D1}"/>
                </c:ext>
              </c:extLst>
            </c:dLbl>
            <c:dLbl>
              <c:idx val="1"/>
              <c:layout>
                <c:manualLayout>
                  <c:x val="-2.0361359039118669E-2"/>
                  <c:y val="2.7863977668588936E-2"/>
                </c:manualLayout>
              </c:layout>
              <c:tx>
                <c:strRef>
                  <c:f>Model!$C$47</c:f>
                  <c:strCache>
                    <c:ptCount val="1"/>
                    <c:pt idx="0">
                      <c:v>63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{D32F3208-3513-4A8C-96C5-925647D20DEE}</c15:txfldGUID>
                      <c15:f>Model!$C$47</c15:f>
                      <c15:dlblFieldTableCache>
                        <c:ptCount val="1"/>
                        <c:pt idx="0">
                          <c:v>63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7BF-47D4-934F-771C2D0718D1}"/>
                </c:ext>
              </c:extLst>
            </c:dLbl>
            <c:dLbl>
              <c:idx val="2"/>
              <c:layout>
                <c:manualLayout>
                  <c:x val="-1.2662727754096052E-2"/>
                  <c:y val="2.7863977668588936E-2"/>
                </c:manualLayout>
              </c:layout>
              <c:tx>
                <c:strRef>
                  <c:f>Model!$C$48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{4B96B96F-7432-4F38-BCDC-B9F78B8E6675}</c15:txfldGUID>
                      <c15:f>Model!$C$48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7BF-47D4-934F-771C2D0718D1}"/>
                </c:ext>
              </c:extLst>
            </c:dLbl>
            <c:dLbl>
              <c:idx val="3"/>
              <c:layout>
                <c:manualLayout>
                  <c:x val="-1.076961170855094E-2"/>
                  <c:y val="2.7863977668588936E-2"/>
                </c:manualLayout>
              </c:layout>
              <c:tx>
                <c:strRef>
                  <c:f>Model!$C$49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{32019D2F-3E0F-44CB-A6F7-CF305CDB52BD}</c15:txfldGUID>
                      <c15:f>Model!$C$49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7BF-47D4-934F-771C2D0718D1}"/>
                </c:ext>
              </c:extLst>
            </c:dLbl>
            <c:dLbl>
              <c:idx val="4"/>
              <c:layout>
                <c:manualLayout>
                  <c:x val="-2.4841662571568987E-2"/>
                  <c:y val="2.7863977668588936E-2"/>
                </c:manualLayout>
              </c:layout>
              <c:tx>
                <c:strRef>
                  <c:f>Model!$C$50</c:f>
                  <c:strCache>
                    <c:ptCount val="1"/>
                    <c:pt idx="0">
                      <c:v>125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{9DBC5657-8D50-4B6B-96B2-C04205237EE0}</c15:txfldGUID>
                      <c15:f>Model!$C$50</c15:f>
                      <c15:dlblFieldTableCache>
                        <c:ptCount val="1"/>
                        <c:pt idx="0">
                          <c:v>125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7BF-47D4-934F-771C2D0718D1}"/>
                </c:ext>
              </c:extLst>
            </c:dLbl>
            <c:dLbl>
              <c:idx val="5"/>
              <c:layout>
                <c:manualLayout>
                  <c:x val="-1.4240273666807619E-2"/>
                  <c:y val="2.7863977668588936E-2"/>
                </c:manualLayout>
              </c:layout>
              <c:tx>
                <c:strRef>
                  <c:f>Model!$C$51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{41FD1909-F278-41ED-B590-06C0AEE3E28B}</c15:txfldGUID>
                      <c15:f>Model!$C$51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7BF-47D4-934F-771C2D0718D1}"/>
                </c:ext>
              </c:extLst>
            </c:dLbl>
            <c:dLbl>
              <c:idx val="6"/>
              <c:layout>
                <c:manualLayout>
                  <c:x val="-1.2347309996990607E-2"/>
                  <c:y val="2.7863977668588936E-2"/>
                </c:manualLayout>
              </c:layout>
              <c:tx>
                <c:strRef>
                  <c:f>Model!$C$52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{3E92D8D4-EB83-4BC8-8310-01FC92B6E0D3}</c15:txfldGUID>
                      <c15:f>Model!$C$52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7BF-47D4-934F-771C2D0718D1}"/>
                </c:ext>
              </c:extLst>
            </c:dLbl>
            <c:dLbl>
              <c:idx val="7"/>
              <c:layout>
                <c:manualLayout>
                  <c:x val="-2.4967982050139229E-2"/>
                  <c:y val="2.7863977668588936E-2"/>
                </c:manualLayout>
              </c:layout>
              <c:tx>
                <c:strRef>
                  <c:f>Model!$C$53</c:f>
                  <c:strCache>
                    <c:ptCount val="1"/>
                    <c:pt idx="0">
                      <c:v>250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{127BBE09-D2BC-4A4C-AC70-1E56909FEA50}</c15:txfldGUID>
                      <c15:f>Model!$C$53</c15:f>
                      <c15:dlblFieldTableCache>
                        <c:ptCount val="1"/>
                        <c:pt idx="0">
                          <c:v>250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7BF-47D4-934F-771C2D0718D1}"/>
                </c:ext>
              </c:extLst>
            </c:dLbl>
            <c:dLbl>
              <c:idx val="8"/>
              <c:layout>
                <c:manualLayout>
                  <c:x val="-1.0012456715769781E-2"/>
                  <c:y val="2.7863977668588936E-2"/>
                </c:manualLayout>
              </c:layout>
              <c:tx>
                <c:strRef>
                  <c:f>Model!$C$54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{880DBB2F-4188-4920-AECC-5AA88DBA46FF}</c15:txfldGUID>
                      <c15:f>Model!$C$54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07BF-47D4-934F-771C2D0718D1}"/>
                </c:ext>
              </c:extLst>
            </c:dLbl>
            <c:dLbl>
              <c:idx val="9"/>
              <c:layout>
                <c:manualLayout>
                  <c:x val="-1.2473477099832778E-2"/>
                  <c:y val="2.7863977668588936E-2"/>
                </c:manualLayout>
              </c:layout>
              <c:tx>
                <c:strRef>
                  <c:f>Model!$C$55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{B3A91BBD-6449-4A36-90A3-8FE386AB2D1F}</c15:txfldGUID>
                      <c15:f>Model!$C$55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7BF-47D4-934F-771C2D0718D1}"/>
                </c:ext>
              </c:extLst>
            </c:dLbl>
            <c:dLbl>
              <c:idx val="10"/>
              <c:layout>
                <c:manualLayout>
                  <c:x val="-2.5094149152981401E-2"/>
                  <c:y val="2.7863977668588936E-2"/>
                </c:manualLayout>
              </c:layout>
              <c:tx>
                <c:strRef>
                  <c:f>Model!$C$56</c:f>
                  <c:strCache>
                    <c:ptCount val="1"/>
                    <c:pt idx="0">
                      <c:v>500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{94C60E91-CC65-41E7-B729-25DF4772F1ED}</c15:txfldGUID>
                      <c15:f>Model!$C$56</c15:f>
                      <c15:dlblFieldTableCache>
                        <c:ptCount val="1"/>
                        <c:pt idx="0">
                          <c:v>500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7BF-47D4-934F-771C2D0718D1}"/>
                </c:ext>
              </c:extLst>
            </c:dLbl>
            <c:dLbl>
              <c:idx val="11"/>
              <c:layout>
                <c:manualLayout>
                  <c:x val="-1.0138623818611896E-2"/>
                  <c:y val="2.7863977668588936E-2"/>
                </c:manualLayout>
              </c:layout>
              <c:tx>
                <c:strRef>
                  <c:f>Model!$C$57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{136E19DD-2A79-445D-B044-C41A1AA4E103}</c15:txfldGUID>
                      <c15:f>Model!$C$57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7BF-47D4-934F-771C2D0718D1}"/>
                </c:ext>
              </c:extLst>
            </c:dLbl>
            <c:dLbl>
              <c:idx val="12"/>
              <c:layout>
                <c:manualLayout>
                  <c:x val="-1.2599644202675005E-2"/>
                  <c:y val="2.7863977668588936E-2"/>
                </c:manualLayout>
              </c:layout>
              <c:tx>
                <c:strRef>
                  <c:f>Model!$C$58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{B4147B6A-1696-408E-839E-8321BD7A10BE}</c15:txfldGUID>
                      <c15:f>Model!$C$58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07BF-47D4-934F-771C2D0718D1}"/>
                </c:ext>
              </c:extLst>
            </c:dLbl>
            <c:dLbl>
              <c:idx val="13"/>
              <c:layout>
                <c:manualLayout>
                  <c:x val="-2.0866179826215504E-2"/>
                  <c:y val="2.7863977668588936E-2"/>
                </c:manualLayout>
              </c:layout>
              <c:tx>
                <c:strRef>
                  <c:f>Model!$C$59</c:f>
                  <c:strCache>
                    <c:ptCount val="1"/>
                    <c:pt idx="0">
                      <c:v>1K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{66B96587-012F-47E7-B0B2-6506ED0043BE}</c15:txfldGUID>
                      <c15:f>Model!$C$59</c15:f>
                      <c15:dlblFieldTableCache>
                        <c:ptCount val="1"/>
                        <c:pt idx="0">
                          <c:v>1K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7BF-47D4-934F-771C2D0718D1}"/>
                </c:ext>
              </c:extLst>
            </c:dLbl>
            <c:dLbl>
              <c:idx val="14"/>
              <c:layout>
                <c:manualLayout>
                  <c:x val="-1.1716169731323521E-2"/>
                  <c:y val="2.7863977668588936E-2"/>
                </c:manualLayout>
              </c:layout>
              <c:tx>
                <c:strRef>
                  <c:f>Model!$C$60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{A8807F7A-0606-4D3C-BBC9-8D89A9D7262F}</c15:txfldGUID>
                      <c15:f>Model!$C$60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07BF-47D4-934F-771C2D0718D1}"/>
                </c:ext>
              </c:extLst>
            </c:dLbl>
            <c:dLbl>
              <c:idx val="15"/>
              <c:layout>
                <c:manualLayout>
                  <c:x val="-1.2725811305517176E-2"/>
                  <c:y val="2.7863977668588936E-2"/>
                </c:manualLayout>
              </c:layout>
              <c:tx>
                <c:strRef>
                  <c:f>Model!$C$61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{A90A069D-6CC0-4AE5-9A0F-CC520E33A48F}</c15:txfldGUID>
                      <c15:f>Model!$C$61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7BF-47D4-934F-771C2D0718D1}"/>
                </c:ext>
              </c:extLst>
            </c:dLbl>
            <c:dLbl>
              <c:idx val="16"/>
              <c:layout>
                <c:manualLayout>
                  <c:x val="-2.0992346929057673E-2"/>
                  <c:y val="2.7863977668588936E-2"/>
                </c:manualLayout>
              </c:layout>
              <c:tx>
                <c:strRef>
                  <c:f>Model!$C$62</c:f>
                  <c:strCache>
                    <c:ptCount val="1"/>
                    <c:pt idx="0">
                      <c:v>2K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{D4A52F97-7A40-4028-A036-1D5BBF71F64C}</c15:txfldGUID>
                      <c15:f>Model!$C$62</c15:f>
                      <c15:dlblFieldTableCache>
                        <c:ptCount val="1"/>
                        <c:pt idx="0">
                          <c:v>2K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7BF-47D4-934F-771C2D0718D1}"/>
                </c:ext>
              </c:extLst>
            </c:dLbl>
            <c:dLbl>
              <c:idx val="17"/>
              <c:layout>
                <c:manualLayout>
                  <c:x val="-1.1842336834165692E-2"/>
                  <c:y val="2.7863977668588936E-2"/>
                </c:manualLayout>
              </c:layout>
              <c:tx>
                <c:strRef>
                  <c:f>Model!$C$63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{BE45938F-AF56-4072-B01A-93139BEF1687}</c15:txfldGUID>
                      <c15:f>Model!$C$63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7BF-47D4-934F-771C2D0718D1}"/>
                </c:ext>
              </c:extLst>
            </c:dLbl>
            <c:dLbl>
              <c:idx val="18"/>
              <c:layout>
                <c:manualLayout>
                  <c:x val="-1.2852130784087418E-2"/>
                  <c:y val="2.7863977668588936E-2"/>
                </c:manualLayout>
              </c:layout>
              <c:tx>
                <c:strRef>
                  <c:f>Model!$C$64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{C8F5812C-F0F2-4EB5-AF1C-041103F5A10E}</c15:txfldGUID>
                      <c15:f>Model!$C$64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07BF-47D4-934F-771C2D0718D1}"/>
                </c:ext>
              </c:extLst>
            </c:dLbl>
            <c:dLbl>
              <c:idx val="19"/>
              <c:layout>
                <c:manualLayout>
                  <c:x val="-2.2570045217497368E-2"/>
                  <c:y val="2.7863977668588936E-2"/>
                </c:manualLayout>
              </c:layout>
              <c:tx>
                <c:strRef>
                  <c:f>Model!$C$65</c:f>
                  <c:strCache>
                    <c:ptCount val="1"/>
                    <c:pt idx="0">
                      <c:v>4K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{D44597C7-ECDC-4074-8B3D-0429C10D49DA}</c15:txfldGUID>
                      <c15:f>Model!$C$65</c15:f>
                      <c15:dlblFieldTableCache>
                        <c:ptCount val="1"/>
                        <c:pt idx="0">
                          <c:v>4K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07BF-47D4-934F-771C2D0718D1}"/>
                </c:ext>
              </c:extLst>
            </c:dLbl>
            <c:dLbl>
              <c:idx val="20"/>
              <c:layout>
                <c:manualLayout>
                  <c:x val="-1.3420035122605386E-2"/>
                  <c:y val="2.7863977668588936E-2"/>
                </c:manualLayout>
              </c:layout>
              <c:tx>
                <c:strRef>
                  <c:f>Model!$C$66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{590F482E-8008-46A7-9AD5-92A185493BEB}</c15:txfldGUID>
                      <c15:f>Model!$C$66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07BF-47D4-934F-771C2D0718D1}"/>
                </c:ext>
              </c:extLst>
            </c:dLbl>
            <c:dLbl>
              <c:idx val="21"/>
              <c:layout>
                <c:manualLayout>
                  <c:x val="-1.1526919077060247E-2"/>
                  <c:y val="2.7863977668588936E-2"/>
                </c:manualLayout>
              </c:layout>
              <c:tx>
                <c:strRef>
                  <c:f>Model!$C$67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{53899D78-4178-46F0-AB7F-3C2D5596F4FD}</c15:txfldGUID>
                      <c15:f>Model!$C$67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07BF-47D4-934F-771C2D0718D1}"/>
                </c:ext>
              </c:extLst>
            </c:dLbl>
            <c:dLbl>
              <c:idx val="22"/>
              <c:layout>
                <c:manualLayout>
                  <c:x val="-2.1244833510470199E-2"/>
                  <c:y val="2.7863977668588936E-2"/>
                </c:manualLayout>
              </c:layout>
              <c:tx>
                <c:strRef>
                  <c:f>Model!$C$68</c:f>
                  <c:strCache>
                    <c:ptCount val="1"/>
                    <c:pt idx="0">
                      <c:v>8K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{EADE9930-0745-407D-A40A-76876CA6FC75}</c15:txfldGUID>
                      <c15:f>Model!$C$68</c15:f>
                      <c15:dlblFieldTableCache>
                        <c:ptCount val="1"/>
                        <c:pt idx="0">
                          <c:v>8K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07BF-47D4-934F-771C2D0718D1}"/>
                </c:ext>
              </c:extLst>
            </c:dLbl>
            <c:dLbl>
              <c:idx val="23"/>
              <c:layout>
                <c:manualLayout>
                  <c:x val="-4.3445367587396731E-3"/>
                  <c:y val="2.7863977668588936E-2"/>
                </c:manualLayout>
              </c:layout>
              <c:tx>
                <c:strRef>
                  <c:f>Model!$C$69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{8C7BF156-92F0-4112-B611-2ACFACD7442E}</c15:txfldGUID>
                      <c15:f>Model!$C$69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07BF-47D4-934F-771C2D0718D1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Model!$A$46:$A$69</c:f>
              <c:strCache>
                <c:ptCount val="24"/>
                <c:pt idx="0">
                  <c:v>Freq (Hz)</c:v>
                </c:pt>
                <c:pt idx="1">
                  <c:v>Level (dB)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strCache>
            </c:strRef>
          </c:xVal>
          <c:yVal>
            <c:numRef>
              <c:f>Model!$B$46:$B$69</c:f>
              <c:numCache>
                <c:formatCode>0.0</c:formatCode>
                <c:ptCount val="24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-10</c:v>
                </c:pt>
                <c:pt idx="22">
                  <c:v>-10</c:v>
                </c:pt>
                <c:pt idx="23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7BF-47D4-934F-771C2D071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68960"/>
        <c:axId val="1"/>
      </c:scatterChart>
      <c:valAx>
        <c:axId val="12368960"/>
        <c:scaling>
          <c:orientation val="minMax"/>
          <c:max val="24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(Hz)</a:t>
                </a:r>
              </a:p>
            </c:rich>
          </c:tx>
          <c:layout>
            <c:manualLayout>
              <c:xMode val="edge"/>
              <c:yMode val="edge"/>
              <c:x val="0.47314949201741657"/>
              <c:y val="0.95396122446020215"/>
            </c:manualLayout>
          </c:layout>
          <c:overlay val="0"/>
          <c:spPr>
            <a:noFill/>
            <a:ln w="25400">
              <a:noFill/>
            </a:ln>
          </c:spPr>
        </c:title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"/>
        <c:crossesAt val="-10"/>
        <c:crossBetween val="midCat"/>
        <c:majorUnit val="1"/>
        <c:minorUnit val="1"/>
      </c:valAx>
      <c:valAx>
        <c:axId val="1"/>
        <c:scaling>
          <c:orientation val="minMax"/>
          <c:max val="90"/>
          <c:min val="-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SOUND PRESSURE LEVEL (dB)</a:t>
                </a:r>
              </a:p>
            </c:rich>
          </c:tx>
          <c:layout>
            <c:manualLayout>
              <c:xMode val="edge"/>
              <c:yMode val="edge"/>
              <c:x val="2.6124818577648767E-2"/>
              <c:y val="0.322284189614419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368960"/>
        <c:crosses val="autoZero"/>
        <c:crossBetween val="midCat"/>
        <c:majorUnit val="10"/>
        <c:minorUnit val="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339622641509441E-2"/>
          <c:y val="2.7624359073504894E-2"/>
          <c:w val="0.89114658925979684"/>
          <c:h val="0.8821378664139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0643444605708754E-2"/>
                  <c:y val="2.7863977668588936E-2"/>
                </c:manualLayout>
              </c:layout>
              <c:tx>
                <c:strRef>
                  <c:f>Model!$C$46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{0CB9BB84-7D8E-4E6D-9AC0-A38B60CA31C6}</c15:txfldGUID>
                      <c15:f>Model!$C$46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48AA-495B-9E93-FF15911C93E7}"/>
                </c:ext>
              </c:extLst>
            </c:dLbl>
            <c:dLbl>
              <c:idx val="1"/>
              <c:layout>
                <c:manualLayout>
                  <c:x val="-2.0361359039118669E-2"/>
                  <c:y val="2.7863977668588936E-2"/>
                </c:manualLayout>
              </c:layout>
              <c:tx>
                <c:strRef>
                  <c:f>Model!$C$47</c:f>
                  <c:strCache>
                    <c:ptCount val="1"/>
                    <c:pt idx="0">
                      <c:v>63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{FE34DB8D-4D10-49C5-A95F-4E037492921E}</c15:txfldGUID>
                      <c15:f>Model!$C$47</c15:f>
                      <c15:dlblFieldTableCache>
                        <c:ptCount val="1"/>
                        <c:pt idx="0">
                          <c:v>63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48AA-495B-9E93-FF15911C93E7}"/>
                </c:ext>
              </c:extLst>
            </c:dLbl>
            <c:dLbl>
              <c:idx val="2"/>
              <c:layout>
                <c:manualLayout>
                  <c:x val="-1.2662727754096052E-2"/>
                  <c:y val="2.7863977668588936E-2"/>
                </c:manualLayout>
              </c:layout>
              <c:tx>
                <c:strRef>
                  <c:f>Model!$C$48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{AC5CA1ED-0088-434A-9208-5207D4E5925C}</c15:txfldGUID>
                      <c15:f>Model!$C$48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48AA-495B-9E93-FF15911C93E7}"/>
                </c:ext>
              </c:extLst>
            </c:dLbl>
            <c:dLbl>
              <c:idx val="3"/>
              <c:layout>
                <c:manualLayout>
                  <c:x val="-1.076961170855094E-2"/>
                  <c:y val="2.7863977668588936E-2"/>
                </c:manualLayout>
              </c:layout>
              <c:tx>
                <c:strRef>
                  <c:f>Model!$C$49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{7C214D92-4FFE-46DE-8D64-70C36E68857B}</c15:txfldGUID>
                      <c15:f>Model!$C$49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48AA-495B-9E93-FF15911C93E7}"/>
                </c:ext>
              </c:extLst>
            </c:dLbl>
            <c:dLbl>
              <c:idx val="4"/>
              <c:layout>
                <c:manualLayout>
                  <c:x val="-2.4841662571568987E-2"/>
                  <c:y val="2.7863977668588936E-2"/>
                </c:manualLayout>
              </c:layout>
              <c:tx>
                <c:strRef>
                  <c:f>Model!$C$50</c:f>
                  <c:strCache>
                    <c:ptCount val="1"/>
                    <c:pt idx="0">
                      <c:v>125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{B3C591E7-8C2F-422D-8085-106C98B03F40}</c15:txfldGUID>
                      <c15:f>Model!$C$50</c15:f>
                      <c15:dlblFieldTableCache>
                        <c:ptCount val="1"/>
                        <c:pt idx="0">
                          <c:v>125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48AA-495B-9E93-FF15911C93E7}"/>
                </c:ext>
              </c:extLst>
            </c:dLbl>
            <c:dLbl>
              <c:idx val="5"/>
              <c:layout>
                <c:manualLayout>
                  <c:x val="-1.4240273666807619E-2"/>
                  <c:y val="2.7863977668588936E-2"/>
                </c:manualLayout>
              </c:layout>
              <c:tx>
                <c:strRef>
                  <c:f>Model!$C$51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{DA379D0E-BDF4-4C7A-AE21-C1A951775DCC}</c15:txfldGUID>
                      <c15:f>Model!$C$51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48AA-495B-9E93-FF15911C93E7}"/>
                </c:ext>
              </c:extLst>
            </c:dLbl>
            <c:dLbl>
              <c:idx val="6"/>
              <c:layout>
                <c:manualLayout>
                  <c:x val="-1.2347309996990607E-2"/>
                  <c:y val="2.7863977668588936E-2"/>
                </c:manualLayout>
              </c:layout>
              <c:tx>
                <c:strRef>
                  <c:f>Model!$C$52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{CB8572D3-B315-4689-A2C0-C5ED5A77BC07}</c15:txfldGUID>
                      <c15:f>Model!$C$52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48AA-495B-9E93-FF15911C93E7}"/>
                </c:ext>
              </c:extLst>
            </c:dLbl>
            <c:dLbl>
              <c:idx val="7"/>
              <c:layout>
                <c:manualLayout>
                  <c:x val="-2.4967982050139229E-2"/>
                  <c:y val="2.7863977668588936E-2"/>
                </c:manualLayout>
              </c:layout>
              <c:tx>
                <c:strRef>
                  <c:f>Model!$C$53</c:f>
                  <c:strCache>
                    <c:ptCount val="1"/>
                    <c:pt idx="0">
                      <c:v>250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{68838F22-F06E-4F27-8B42-1E8A0AC948C9}</c15:txfldGUID>
                      <c15:f>Model!$C$53</c15:f>
                      <c15:dlblFieldTableCache>
                        <c:ptCount val="1"/>
                        <c:pt idx="0">
                          <c:v>250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48AA-495B-9E93-FF15911C93E7}"/>
                </c:ext>
              </c:extLst>
            </c:dLbl>
            <c:dLbl>
              <c:idx val="8"/>
              <c:layout>
                <c:manualLayout>
                  <c:x val="-1.0012456715769781E-2"/>
                  <c:y val="2.7863977668588936E-2"/>
                </c:manualLayout>
              </c:layout>
              <c:tx>
                <c:strRef>
                  <c:f>Model!$C$54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{F2DC8A1F-98BF-40F4-8FC6-EA86B60C0A57}</c15:txfldGUID>
                      <c15:f>Model!$C$54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48AA-495B-9E93-FF15911C93E7}"/>
                </c:ext>
              </c:extLst>
            </c:dLbl>
            <c:dLbl>
              <c:idx val="9"/>
              <c:layout>
                <c:manualLayout>
                  <c:x val="-1.2473477099832778E-2"/>
                  <c:y val="2.7863977668588936E-2"/>
                </c:manualLayout>
              </c:layout>
              <c:tx>
                <c:strRef>
                  <c:f>Model!$C$55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{19307E7D-7D5B-497E-924D-CC6A3BBD18DB}</c15:txfldGUID>
                      <c15:f>Model!$C$55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48AA-495B-9E93-FF15911C93E7}"/>
                </c:ext>
              </c:extLst>
            </c:dLbl>
            <c:dLbl>
              <c:idx val="10"/>
              <c:layout>
                <c:manualLayout>
                  <c:x val="-2.5094149152981401E-2"/>
                  <c:y val="2.7863977668588936E-2"/>
                </c:manualLayout>
              </c:layout>
              <c:tx>
                <c:strRef>
                  <c:f>Model!$C$56</c:f>
                  <c:strCache>
                    <c:ptCount val="1"/>
                    <c:pt idx="0">
                      <c:v>500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{A3A1508B-FEEE-45EC-820F-2392732397DF}</c15:txfldGUID>
                      <c15:f>Model!$C$56</c15:f>
                      <c15:dlblFieldTableCache>
                        <c:ptCount val="1"/>
                        <c:pt idx="0">
                          <c:v>500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48AA-495B-9E93-FF15911C93E7}"/>
                </c:ext>
              </c:extLst>
            </c:dLbl>
            <c:dLbl>
              <c:idx val="11"/>
              <c:layout>
                <c:manualLayout>
                  <c:x val="-1.0138623818611896E-2"/>
                  <c:y val="2.7863977668588936E-2"/>
                </c:manualLayout>
              </c:layout>
              <c:tx>
                <c:strRef>
                  <c:f>Model!$C$57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{F97BE206-3EDF-4827-8D6E-99BD5A662C53}</c15:txfldGUID>
                      <c15:f>Model!$C$57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48AA-495B-9E93-FF15911C93E7}"/>
                </c:ext>
              </c:extLst>
            </c:dLbl>
            <c:dLbl>
              <c:idx val="12"/>
              <c:layout>
                <c:manualLayout>
                  <c:x val="-1.2599644202675005E-2"/>
                  <c:y val="2.7863977668588936E-2"/>
                </c:manualLayout>
              </c:layout>
              <c:tx>
                <c:strRef>
                  <c:f>Model!$C$58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{0B3DEACF-A27F-49BF-8609-68DE6B6BA82D}</c15:txfldGUID>
                      <c15:f>Model!$C$58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48AA-495B-9E93-FF15911C93E7}"/>
                </c:ext>
              </c:extLst>
            </c:dLbl>
            <c:dLbl>
              <c:idx val="13"/>
              <c:layout>
                <c:manualLayout>
                  <c:x val="-2.0866179826215504E-2"/>
                  <c:y val="2.7863977668588936E-2"/>
                </c:manualLayout>
              </c:layout>
              <c:tx>
                <c:strRef>
                  <c:f>Model!$C$59</c:f>
                  <c:strCache>
                    <c:ptCount val="1"/>
                    <c:pt idx="0">
                      <c:v>1K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{2F7885FA-256D-451A-9D38-F74EA95F5BE6}</c15:txfldGUID>
                      <c15:f>Model!$C$59</c15:f>
                      <c15:dlblFieldTableCache>
                        <c:ptCount val="1"/>
                        <c:pt idx="0">
                          <c:v>1K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48AA-495B-9E93-FF15911C93E7}"/>
                </c:ext>
              </c:extLst>
            </c:dLbl>
            <c:dLbl>
              <c:idx val="14"/>
              <c:layout>
                <c:manualLayout>
                  <c:x val="-1.1716169731323521E-2"/>
                  <c:y val="2.7863977668588936E-2"/>
                </c:manualLayout>
              </c:layout>
              <c:tx>
                <c:strRef>
                  <c:f>Model!$C$60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{D31E9521-1C7D-47F9-BB2C-2448F9503ACC}</c15:txfldGUID>
                      <c15:f>Model!$C$60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48AA-495B-9E93-FF15911C93E7}"/>
                </c:ext>
              </c:extLst>
            </c:dLbl>
            <c:dLbl>
              <c:idx val="15"/>
              <c:layout>
                <c:manualLayout>
                  <c:x val="-1.2725811305517176E-2"/>
                  <c:y val="2.7863977668588936E-2"/>
                </c:manualLayout>
              </c:layout>
              <c:tx>
                <c:strRef>
                  <c:f>Model!$C$61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{454A2A64-8025-4F91-8483-50925EC0FB54}</c15:txfldGUID>
                      <c15:f>Model!$C$61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48AA-495B-9E93-FF15911C93E7}"/>
                </c:ext>
              </c:extLst>
            </c:dLbl>
            <c:dLbl>
              <c:idx val="16"/>
              <c:layout>
                <c:manualLayout>
                  <c:x val="-2.0992346929057673E-2"/>
                  <c:y val="2.7863977668588936E-2"/>
                </c:manualLayout>
              </c:layout>
              <c:tx>
                <c:strRef>
                  <c:f>Model!$C$62</c:f>
                  <c:strCache>
                    <c:ptCount val="1"/>
                    <c:pt idx="0">
                      <c:v>2K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{D19A8E3D-0F1D-4367-8813-01F18AEF71B7}</c15:txfldGUID>
                      <c15:f>Model!$C$62</c15:f>
                      <c15:dlblFieldTableCache>
                        <c:ptCount val="1"/>
                        <c:pt idx="0">
                          <c:v>2K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48AA-495B-9E93-FF15911C93E7}"/>
                </c:ext>
              </c:extLst>
            </c:dLbl>
            <c:dLbl>
              <c:idx val="17"/>
              <c:layout>
                <c:manualLayout>
                  <c:x val="-1.1842336834165692E-2"/>
                  <c:y val="2.7863977668588936E-2"/>
                </c:manualLayout>
              </c:layout>
              <c:tx>
                <c:strRef>
                  <c:f>Model!$C$63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{64C245F5-824A-4FB6-8C53-F71EF8622942}</c15:txfldGUID>
                      <c15:f>Model!$C$63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48AA-495B-9E93-FF15911C93E7}"/>
                </c:ext>
              </c:extLst>
            </c:dLbl>
            <c:dLbl>
              <c:idx val="18"/>
              <c:layout>
                <c:manualLayout>
                  <c:x val="-1.2852130784087418E-2"/>
                  <c:y val="2.7863977668588936E-2"/>
                </c:manualLayout>
              </c:layout>
              <c:tx>
                <c:strRef>
                  <c:f>Model!$C$64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{E3EAF8B5-8C23-491C-AB24-5ACEA1D42B51}</c15:txfldGUID>
                      <c15:f>Model!$C$64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48AA-495B-9E93-FF15911C93E7}"/>
                </c:ext>
              </c:extLst>
            </c:dLbl>
            <c:dLbl>
              <c:idx val="19"/>
              <c:layout>
                <c:manualLayout>
                  <c:x val="-2.2570045217497368E-2"/>
                  <c:y val="2.7863977668588936E-2"/>
                </c:manualLayout>
              </c:layout>
              <c:tx>
                <c:strRef>
                  <c:f>Model!$C$65</c:f>
                  <c:strCache>
                    <c:ptCount val="1"/>
                    <c:pt idx="0">
                      <c:v>4K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{4A73D84D-5C2A-4FA3-8843-A3EC94D7415A}</c15:txfldGUID>
                      <c15:f>Model!$C$65</c15:f>
                      <c15:dlblFieldTableCache>
                        <c:ptCount val="1"/>
                        <c:pt idx="0">
                          <c:v>4K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48AA-495B-9E93-FF15911C93E7}"/>
                </c:ext>
              </c:extLst>
            </c:dLbl>
            <c:dLbl>
              <c:idx val="20"/>
              <c:layout>
                <c:manualLayout>
                  <c:x val="-1.3420035122605386E-2"/>
                  <c:y val="2.7863977668588936E-2"/>
                </c:manualLayout>
              </c:layout>
              <c:tx>
                <c:strRef>
                  <c:f>Model!$C$66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{E06B3B7E-BA00-4C19-96B7-0581C38579DE}</c15:txfldGUID>
                      <c15:f>Model!$C$66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48AA-495B-9E93-FF15911C93E7}"/>
                </c:ext>
              </c:extLst>
            </c:dLbl>
            <c:dLbl>
              <c:idx val="21"/>
              <c:layout>
                <c:manualLayout>
                  <c:x val="-1.1526919077060247E-2"/>
                  <c:y val="2.7863977668588936E-2"/>
                </c:manualLayout>
              </c:layout>
              <c:tx>
                <c:strRef>
                  <c:f>Model!$C$67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{AA786F9C-F643-4C01-97AA-420AF70ACB19}</c15:txfldGUID>
                      <c15:f>Model!$C$67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48AA-495B-9E93-FF15911C93E7}"/>
                </c:ext>
              </c:extLst>
            </c:dLbl>
            <c:dLbl>
              <c:idx val="22"/>
              <c:layout>
                <c:manualLayout>
                  <c:x val="-2.1244833510470199E-2"/>
                  <c:y val="2.7863977668588936E-2"/>
                </c:manualLayout>
              </c:layout>
              <c:tx>
                <c:strRef>
                  <c:f>Model!$C$68</c:f>
                  <c:strCache>
                    <c:ptCount val="1"/>
                    <c:pt idx="0">
                      <c:v>8K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{9F1EB2F6-13AE-4992-9251-8A1B960779F3}</c15:txfldGUID>
                      <c15:f>Model!$C$68</c15:f>
                      <c15:dlblFieldTableCache>
                        <c:ptCount val="1"/>
                        <c:pt idx="0">
                          <c:v>8K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48AA-495B-9E93-FF15911C93E7}"/>
                </c:ext>
              </c:extLst>
            </c:dLbl>
            <c:dLbl>
              <c:idx val="23"/>
              <c:layout>
                <c:manualLayout>
                  <c:x val="-4.3445367587396731E-3"/>
                  <c:y val="2.7863977668588936E-2"/>
                </c:manualLayout>
              </c:layout>
              <c:tx>
                <c:strRef>
                  <c:f>Model!$C$69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{12528AAD-3756-4372-A4E3-3DDF8BF8611A}</c15:txfldGUID>
                      <c15:f>Model!$C$69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48AA-495B-9E93-FF15911C93E7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Model!$A$46:$A$69</c:f>
              <c:strCache>
                <c:ptCount val="24"/>
                <c:pt idx="0">
                  <c:v>Freq (Hz)</c:v>
                </c:pt>
                <c:pt idx="1">
                  <c:v>Level (dB)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strCache>
            </c:strRef>
          </c:xVal>
          <c:yVal>
            <c:numRef>
              <c:f>Model!$B$46:$B$69</c:f>
              <c:numCache>
                <c:formatCode>0.0</c:formatCode>
                <c:ptCount val="24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-10</c:v>
                </c:pt>
                <c:pt idx="22">
                  <c:v>-10</c:v>
                </c:pt>
                <c:pt idx="23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8AA-495B-9E93-FF15911C9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64800"/>
        <c:axId val="1"/>
      </c:scatterChart>
      <c:valAx>
        <c:axId val="12364800"/>
        <c:scaling>
          <c:orientation val="minMax"/>
          <c:max val="24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(Hz)</a:t>
                </a:r>
              </a:p>
            </c:rich>
          </c:tx>
          <c:layout>
            <c:manualLayout>
              <c:xMode val="edge"/>
              <c:yMode val="edge"/>
              <c:x val="0.47314949201741657"/>
              <c:y val="0.95396122446020215"/>
            </c:manualLayout>
          </c:layout>
          <c:overlay val="0"/>
          <c:spPr>
            <a:noFill/>
            <a:ln w="25400">
              <a:noFill/>
            </a:ln>
          </c:spPr>
        </c:title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"/>
        <c:crossesAt val="-10"/>
        <c:crossBetween val="midCat"/>
        <c:majorUnit val="1"/>
        <c:minorUnit val="1"/>
      </c:valAx>
      <c:valAx>
        <c:axId val="1"/>
        <c:scaling>
          <c:orientation val="minMax"/>
          <c:max val="90"/>
          <c:min val="-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SOUND PRESSURE LEVEL (dB)</a:t>
                </a:r>
              </a:p>
            </c:rich>
          </c:tx>
          <c:layout>
            <c:manualLayout>
              <c:xMode val="edge"/>
              <c:yMode val="edge"/>
              <c:x val="2.6124818577648767E-2"/>
              <c:y val="0.322284189614419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364800"/>
        <c:crosses val="autoZero"/>
        <c:crossBetween val="midCat"/>
        <c:majorUnit val="10"/>
        <c:minorUnit val="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251942286348501E-2"/>
          <c:y val="1.794453507340946E-2"/>
          <c:w val="0.92008879023307433"/>
          <c:h val="0.9037520391517128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1.0358860525342212E-2"/>
                  <c:y val="2.0663404023926031E-2"/>
                </c:manualLayout>
              </c:layout>
              <c:tx>
                <c:strRef>
                  <c:f>Model!$C$46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{16B53265-3E70-4E87-A70D-2EE3680A8ACE}</c15:txfldGUID>
                      <c15:f>Model!$C$46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A5A0-44D8-8671-8875A663CD01}"/>
                </c:ext>
              </c:extLst>
            </c:dLbl>
            <c:dLbl>
              <c:idx val="1"/>
              <c:layout>
                <c:manualLayout>
                  <c:x val="-1.9286124195629813E-2"/>
                  <c:y val="2.0663404023926031E-2"/>
                </c:manualLayout>
              </c:layout>
              <c:tx>
                <c:strRef>
                  <c:f>Model!$C$47</c:f>
                  <c:strCache>
                    <c:ptCount val="1"/>
                    <c:pt idx="0">
                      <c:v>63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{732D0790-77DB-4221-97DD-5C93967EA284}</c15:txfldGUID>
                      <c15:f>Model!$C$47</c15:f>
                      <c15:dlblFieldTableCache>
                        <c:ptCount val="1"/>
                        <c:pt idx="0">
                          <c:v>63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A5A0-44D8-8671-8875A663CD01}"/>
                </c:ext>
              </c:extLst>
            </c:dLbl>
            <c:dLbl>
              <c:idx val="2"/>
              <c:layout>
                <c:manualLayout>
                  <c:x val="-1.0455341251045054E-2"/>
                  <c:y val="2.0663404023926031E-2"/>
                </c:manualLayout>
              </c:layout>
              <c:tx>
                <c:strRef>
                  <c:f>Model!$C$48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{6D4F765C-2999-471F-A76A-67F87DC52E80}</c15:txfldGUID>
                      <c15:f>Model!$C$48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A5A0-44D8-8671-8875A663CD01}"/>
                </c:ext>
              </c:extLst>
            </c:dLbl>
            <c:dLbl>
              <c:idx val="3"/>
              <c:layout>
                <c:manualLayout>
                  <c:x val="-1.0503581613896463E-2"/>
                  <c:y val="2.0663404023926031E-2"/>
                </c:manualLayout>
              </c:layout>
              <c:tx>
                <c:strRef>
                  <c:f>Model!$C$49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{F3027469-FF26-4186-B306-CBF3386F1E20}</c15:txfldGUID>
                      <c15:f>Model!$C$49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A5A0-44D8-8671-8875A663CD01}"/>
                </c:ext>
              </c:extLst>
            </c:dLbl>
            <c:dLbl>
              <c:idx val="4"/>
              <c:layout>
                <c:manualLayout>
                  <c:x val="-2.2760595547088248E-2"/>
                  <c:y val="2.0663404023926031E-2"/>
                </c:manualLayout>
              </c:layout>
              <c:tx>
                <c:strRef>
                  <c:f>Model!$C$50</c:f>
                  <c:strCache>
                    <c:ptCount val="1"/>
                    <c:pt idx="0">
                      <c:v>125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{52392080-2B9D-4283-A418-C912B4A88626}</c15:txfldGUID>
                      <c15:f>Model!$C$50</c15:f>
                      <c15:dlblFieldTableCache>
                        <c:ptCount val="1"/>
                        <c:pt idx="0">
                          <c:v>125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A5A0-44D8-8671-8875A663CD01}"/>
                </c:ext>
              </c:extLst>
            </c:dLbl>
            <c:dLbl>
              <c:idx val="5"/>
              <c:layout>
                <c:manualLayout>
                  <c:x val="-1.0600178862214916E-2"/>
                  <c:y val="2.0663404023926031E-2"/>
                </c:manualLayout>
              </c:layout>
              <c:tx>
                <c:strRef>
                  <c:f>Model!$C$51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{95671953-9A87-4F7D-AFBB-4FF9E0908745}</c15:txfldGUID>
                      <c15:f>Model!$C$51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A5A0-44D8-8671-8875A663CD01}"/>
                </c:ext>
              </c:extLst>
            </c:dLbl>
            <c:dLbl>
              <c:idx val="6"/>
              <c:layout>
                <c:manualLayout>
                  <c:x val="-1.064841922506638E-2"/>
                  <c:y val="2.0663404023926031E-2"/>
                </c:manualLayout>
              </c:layout>
              <c:tx>
                <c:strRef>
                  <c:f>Model!$C$52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{4B7C20D9-AD23-4455-9242-1DD98510B168}</c15:txfldGUID>
                      <c15:f>Model!$C$52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A5A0-44D8-8671-8875A663CD01}"/>
                </c:ext>
              </c:extLst>
            </c:dLbl>
            <c:dLbl>
              <c:idx val="7"/>
              <c:layout>
                <c:manualLayout>
                  <c:x val="-2.2905316635642471E-2"/>
                  <c:y val="2.0663404023926031E-2"/>
                </c:manualLayout>
              </c:layout>
              <c:tx>
                <c:strRef>
                  <c:f>Model!$C$53</c:f>
                  <c:strCache>
                    <c:ptCount val="1"/>
                    <c:pt idx="0">
                      <c:v>250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{BF9A736C-43ED-4466-9CA8-64F6FA572D8D}</c15:txfldGUID>
                      <c15:f>Model!$C$53</c15:f>
                      <c15:dlblFieldTableCache>
                        <c:ptCount val="1"/>
                        <c:pt idx="0">
                          <c:v>250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A5A0-44D8-8671-8875A663CD01}"/>
                </c:ext>
              </c:extLst>
            </c:dLbl>
            <c:dLbl>
              <c:idx val="8"/>
              <c:layout>
                <c:manualLayout>
                  <c:x val="-1.0744899950769195E-2"/>
                  <c:y val="2.0663404023926031E-2"/>
                </c:manualLayout>
              </c:layout>
              <c:tx>
                <c:strRef>
                  <c:f>Model!$C$54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{2F80F75A-7B7C-490C-862A-BF04DAC92988}</c15:txfldGUID>
                      <c15:f>Model!$C$54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A5A0-44D8-8671-8875A663CD01}"/>
                </c:ext>
              </c:extLst>
            </c:dLbl>
            <c:dLbl>
              <c:idx val="9"/>
              <c:layout>
                <c:manualLayout>
                  <c:x val="-1.0793140313620659E-2"/>
                  <c:y val="2.0663404023926031E-2"/>
                </c:manualLayout>
              </c:layout>
              <c:tx>
                <c:strRef>
                  <c:f>Model!$C$55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{6D1518D2-66BF-4809-BD0B-6D57CA364357}</c15:txfldGUID>
                      <c15:f>Model!$C$55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A5A0-44D8-8671-8875A663CD01}"/>
                </c:ext>
              </c:extLst>
            </c:dLbl>
            <c:dLbl>
              <c:idx val="10"/>
              <c:layout>
                <c:manualLayout>
                  <c:x val="-2.305003772419675E-2"/>
                  <c:y val="2.0663404023926031E-2"/>
                </c:manualLayout>
              </c:layout>
              <c:tx>
                <c:strRef>
                  <c:f>Model!$C$56</c:f>
                  <c:strCache>
                    <c:ptCount val="1"/>
                    <c:pt idx="0">
                      <c:v>500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{40BF0AB3-1841-4CD6-9EF6-1DACD91580FF}</c15:txfldGUID>
                      <c15:f>Model!$C$56</c15:f>
                      <c15:dlblFieldTableCache>
                        <c:ptCount val="1"/>
                        <c:pt idx="0">
                          <c:v>500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A5A0-44D8-8671-8875A663CD01}"/>
                </c:ext>
              </c:extLst>
            </c:dLbl>
            <c:dLbl>
              <c:idx val="11"/>
              <c:layout>
                <c:manualLayout>
                  <c:x val="-1.0889621039323474E-2"/>
                  <c:y val="2.0663404023926031E-2"/>
                </c:manualLayout>
              </c:layout>
              <c:tx>
                <c:strRef>
                  <c:f>Model!$C$57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{9E57DC45-1C1C-46C0-A14E-B729F46EA95E}</c15:txfldGUID>
                      <c15:f>Model!$C$57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A5A0-44D8-8671-8875A663CD01}"/>
                </c:ext>
              </c:extLst>
            </c:dLbl>
            <c:dLbl>
              <c:idx val="12"/>
              <c:layout>
                <c:manualLayout>
                  <c:x val="-9.8281000113609289E-3"/>
                  <c:y val="2.0663404023926031E-2"/>
                </c:manualLayout>
              </c:layout>
              <c:tx>
                <c:strRef>
                  <c:f>Model!$C$58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{207F7BFF-107A-481E-89CF-5BD6B5D6A6F2}</c15:txfldGUID>
                      <c15:f>Model!$C$58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A5A0-44D8-8671-8875A663CD01}"/>
                </c:ext>
              </c:extLst>
            </c:dLbl>
            <c:dLbl>
              <c:idx val="13"/>
              <c:layout>
                <c:manualLayout>
                  <c:x val="-1.8755363681648568E-2"/>
                  <c:y val="2.0663404023926031E-2"/>
                </c:manualLayout>
              </c:layout>
              <c:tx>
                <c:strRef>
                  <c:f>Model!$C$59</c:f>
                  <c:strCache>
                    <c:ptCount val="1"/>
                    <c:pt idx="0">
                      <c:v>1K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{2708DAB2-81BB-45EE-A0F4-7A45D2A7DDFF}</c15:txfldGUID>
                      <c15:f>Model!$C$59</c15:f>
                      <c15:dlblFieldTableCache>
                        <c:ptCount val="1"/>
                        <c:pt idx="0">
                          <c:v>1K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A5A0-44D8-8671-8875A663CD01}"/>
                </c:ext>
              </c:extLst>
            </c:dLbl>
            <c:dLbl>
              <c:idx val="14"/>
              <c:layout>
                <c:manualLayout>
                  <c:x val="-9.9245807370638549E-3"/>
                  <c:y val="2.0663404023926031E-2"/>
                </c:manualLayout>
              </c:layout>
              <c:tx>
                <c:strRef>
                  <c:f>Model!$C$60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{58506451-4501-47FE-9EA6-BFA56A894E8D}</c15:txfldGUID>
                      <c15:f>Model!$C$60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A5A0-44D8-8671-8875A663CD01}"/>
                </c:ext>
              </c:extLst>
            </c:dLbl>
            <c:dLbl>
              <c:idx val="15"/>
              <c:layout>
                <c:manualLayout>
                  <c:x val="-9.9728210999152633E-3"/>
                  <c:y val="2.0663404023926031E-2"/>
                </c:manualLayout>
              </c:layout>
              <c:tx>
                <c:strRef>
                  <c:f>Model!$C$61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{A657E504-17B4-4058-9AD6-4B12DE311A1F}</c15:txfldGUID>
                      <c15:f>Model!$C$61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A5A0-44D8-8671-8875A663CD01}"/>
                </c:ext>
              </c:extLst>
            </c:dLbl>
            <c:dLbl>
              <c:idx val="16"/>
              <c:layout>
                <c:manualLayout>
                  <c:x val="-1.8900084770202791E-2"/>
                  <c:y val="2.0663404023926031E-2"/>
                </c:manualLayout>
              </c:layout>
              <c:tx>
                <c:strRef>
                  <c:f>Model!$C$62</c:f>
                  <c:strCache>
                    <c:ptCount val="1"/>
                    <c:pt idx="0">
                      <c:v>2K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{430A2B36-0990-4A4E-AA68-B454DF46E2AC}</c15:txfldGUID>
                      <c15:f>Model!$C$62</c15:f>
                      <c15:dlblFieldTableCache>
                        <c:ptCount val="1"/>
                        <c:pt idx="0">
                          <c:v>2K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A5A0-44D8-8671-8875A663CD01}"/>
                </c:ext>
              </c:extLst>
            </c:dLbl>
            <c:dLbl>
              <c:idx val="17"/>
              <c:layout>
                <c:manualLayout>
                  <c:x val="-1.0069301825618078E-2"/>
                  <c:y val="2.0663404023926031E-2"/>
                </c:manualLayout>
              </c:layout>
              <c:tx>
                <c:strRef>
                  <c:f>Model!$C$63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{B3233ACA-1FB1-434F-8703-BCD3EE2ECCF0}</c15:txfldGUID>
                      <c15:f>Model!$C$63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A5A0-44D8-8671-8875A663CD01}"/>
                </c:ext>
              </c:extLst>
            </c:dLbl>
            <c:dLbl>
              <c:idx val="18"/>
              <c:layout>
                <c:manualLayout>
                  <c:x val="-1.0117542188469485E-2"/>
                  <c:y val="2.0663404023926031E-2"/>
                </c:manualLayout>
              </c:layout>
              <c:tx>
                <c:strRef>
                  <c:f>Model!$C$64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{8B08ECA1-07A0-419A-A01E-75649A180D11}</c15:txfldGUID>
                      <c15:f>Model!$C$64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A5A0-44D8-8671-8875A663CD01}"/>
                </c:ext>
              </c:extLst>
            </c:dLbl>
            <c:dLbl>
              <c:idx val="19"/>
              <c:layout>
                <c:manualLayout>
                  <c:x val="-1.9044805858757126E-2"/>
                  <c:y val="2.0663404023926031E-2"/>
                </c:manualLayout>
              </c:layout>
              <c:tx>
                <c:strRef>
                  <c:f>Model!$C$65</c:f>
                  <c:strCache>
                    <c:ptCount val="1"/>
                    <c:pt idx="0">
                      <c:v>4K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{E3AA6EB0-3804-4D75-BA9D-C99855B589D5}</c15:txfldGUID>
                      <c15:f>Model!$C$65</c15:f>
                      <c15:dlblFieldTableCache>
                        <c:ptCount val="1"/>
                        <c:pt idx="0">
                          <c:v>4K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A5A0-44D8-8671-8875A663CD01}"/>
                </c:ext>
              </c:extLst>
            </c:dLbl>
            <c:dLbl>
              <c:idx val="20"/>
              <c:layout>
                <c:manualLayout>
                  <c:x val="-1.0214139436787995E-2"/>
                  <c:y val="2.0663404023926031E-2"/>
                </c:manualLayout>
              </c:layout>
              <c:tx>
                <c:strRef>
                  <c:f>Model!$C$66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{A7DBC95B-5F65-4BA3-9C77-64B241BBF199}</c15:txfldGUID>
                      <c15:f>Model!$C$66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A5A0-44D8-8671-8875A663CD01}"/>
                </c:ext>
              </c:extLst>
            </c:dLbl>
            <c:dLbl>
              <c:idx val="21"/>
              <c:layout>
                <c:manualLayout>
                  <c:x val="-1.0262379799639404E-2"/>
                  <c:y val="2.0663404023926031E-2"/>
                </c:manualLayout>
              </c:layout>
              <c:tx>
                <c:strRef>
                  <c:f>Model!$C$67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{B5467A8F-70E2-491F-BD89-F1EB1A951145}</c15:txfldGUID>
                      <c15:f>Model!$C$67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A5A0-44D8-8671-8875A663CD01}"/>
                </c:ext>
              </c:extLst>
            </c:dLbl>
            <c:dLbl>
              <c:idx val="22"/>
              <c:layout>
                <c:manualLayout>
                  <c:x val="-1.918964346992693E-2"/>
                  <c:y val="2.0663404023926031E-2"/>
                </c:manualLayout>
              </c:layout>
              <c:tx>
                <c:strRef>
                  <c:f>Model!$C$68</c:f>
                  <c:strCache>
                    <c:ptCount val="1"/>
                    <c:pt idx="0">
                      <c:v>8K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{1F7FEF9E-DFB5-4E19-A3A3-1A28B2350BD1}</c15:txfldGUID>
                      <c15:f>Model!$C$68</c15:f>
                      <c15:dlblFieldTableCache>
                        <c:ptCount val="1"/>
                        <c:pt idx="0">
                          <c:v>8K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A5A0-44D8-8671-8875A663CD01}"/>
                </c:ext>
              </c:extLst>
            </c:dLbl>
            <c:dLbl>
              <c:idx val="23"/>
              <c:layout>
                <c:manualLayout>
                  <c:x val="7.3409247817325229E-6"/>
                  <c:y val="2.0663404023926031E-2"/>
                </c:manualLayout>
              </c:layout>
              <c:tx>
                <c:strRef>
                  <c:f>Model!$C$69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{63CD826E-C236-4DDD-8187-43D44EA7F492}</c15:txfldGUID>
                      <c15:f>Model!$C$69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A5A0-44D8-8671-8875A663CD01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Model!$A$46:$A$69</c:f>
              <c:strCache>
                <c:ptCount val="24"/>
                <c:pt idx="0">
                  <c:v>Freq (Hz)</c:v>
                </c:pt>
                <c:pt idx="1">
                  <c:v>Level (dB)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strCache>
            </c:strRef>
          </c:xVal>
          <c:yVal>
            <c:numRef>
              <c:f>Model!$B$46:$B$69</c:f>
              <c:numCache>
                <c:formatCode>0.0</c:formatCode>
                <c:ptCount val="24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  <c:pt idx="14">
                  <c:v>-10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-10</c:v>
                </c:pt>
                <c:pt idx="21">
                  <c:v>-10</c:v>
                </c:pt>
                <c:pt idx="22">
                  <c:v>-10</c:v>
                </c:pt>
                <c:pt idx="23">
                  <c:v>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5A0-44D8-8671-8875A663C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80192"/>
        <c:axId val="1"/>
      </c:scatterChart>
      <c:valAx>
        <c:axId val="12380192"/>
        <c:scaling>
          <c:orientation val="minMax"/>
          <c:max val="24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 (Hz)</a:t>
                </a:r>
              </a:p>
            </c:rich>
          </c:tx>
          <c:layout>
            <c:manualLayout>
              <c:xMode val="edge"/>
              <c:yMode val="edge"/>
              <c:x val="0.47058827646544182"/>
              <c:y val="0.96247954299830163"/>
            </c:manualLayout>
          </c:layout>
          <c:overlay val="0"/>
          <c:spPr>
            <a:noFill/>
            <a:ln w="25400">
              <a:noFill/>
            </a:ln>
          </c:spPr>
        </c:title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1"/>
        <c:crossesAt val="-10"/>
        <c:crossBetween val="midCat"/>
        <c:majorUnit val="1"/>
        <c:minorUnit val="1"/>
      </c:valAx>
      <c:valAx>
        <c:axId val="1"/>
        <c:scaling>
          <c:orientation val="minMax"/>
          <c:max val="90"/>
          <c:min val="-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SOUND PRESSURE LEVEL (dB)</a:t>
                </a:r>
              </a:p>
            </c:rich>
          </c:tx>
          <c:layout>
            <c:manualLayout>
              <c:xMode val="edge"/>
              <c:yMode val="edge"/>
              <c:x val="1.4428346456692914E-2"/>
              <c:y val="0.3083198668793851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380192"/>
        <c:crosses val="autoZero"/>
        <c:crossBetween val="midCat"/>
        <c:majorUnit val="10"/>
        <c:minorUnit val="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38" workbookViewId="0"/>
  </sheetViews>
  <pageMargins left="0.75" right="0.75" top="1" bottom="1" header="0.5" footer="0.5"/>
  <pageSetup orientation="landscape" horizontalDpi="1200" verticalDpi="1200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19050</xdr:rowOff>
        </xdr:from>
        <xdr:to>
          <xdr:col>1</xdr:col>
          <xdr:colOff>85725</xdr:colOff>
          <xdr:row>3</xdr:row>
          <xdr:rowOff>361950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96884669-6CCB-8929-A227-21DFB3EFB6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Detection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Distance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3</xdr:row>
          <xdr:rowOff>19050</xdr:rowOff>
        </xdr:from>
        <xdr:to>
          <xdr:col>2</xdr:col>
          <xdr:colOff>219075</xdr:colOff>
          <xdr:row>3</xdr:row>
          <xdr:rowOff>361950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CB2AF169-3CE2-034D-B025-FD5F7546D3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Non-Detect Spectrum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3</xdr:row>
          <xdr:rowOff>19050</xdr:rowOff>
        </xdr:from>
        <xdr:to>
          <xdr:col>4</xdr:col>
          <xdr:colOff>180975</xdr:colOff>
          <xdr:row>3</xdr:row>
          <xdr:rowOff>361950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60F5F043-DA05-EFB1-42E7-7089083072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Levels Losses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at Distance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19050</xdr:rowOff>
        </xdr:from>
        <xdr:to>
          <xdr:col>5</xdr:col>
          <xdr:colOff>247650</xdr:colOff>
          <xdr:row>3</xdr:row>
          <xdr:rowOff>361950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721F94B2-0757-B13C-488A-FDC7DEFA3E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dBA Distance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3</xdr:row>
          <xdr:rowOff>19050</xdr:rowOff>
        </xdr:from>
        <xdr:to>
          <xdr:col>6</xdr:col>
          <xdr:colOff>466725</xdr:colOff>
          <xdr:row>3</xdr:row>
          <xdr:rowOff>361950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BD0BC563-1CC6-DAAA-C8F1-50AEA829F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Speech Intelligibility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5</xdr:row>
      <xdr:rowOff>0</xdr:rowOff>
    </xdr:from>
    <xdr:to>
      <xdr:col>22</xdr:col>
      <xdr:colOff>476250</xdr:colOff>
      <xdr:row>36</xdr:row>
      <xdr:rowOff>142875</xdr:rowOff>
    </xdr:to>
    <xdr:graphicFrame macro="">
      <xdr:nvGraphicFramePr>
        <xdr:cNvPr id="1602" name="Chart 3073">
          <a:extLst>
            <a:ext uri="{FF2B5EF4-FFF2-40B4-BE49-F238E27FC236}">
              <a16:creationId xmlns:a16="http://schemas.microsoft.com/office/drawing/2014/main" id="{5BE36AFF-0269-3069-464E-795802D805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0.09434</cdr:x>
      <cdr:y>0.20582</cdr:y>
    </cdr:from>
    <cdr:to>
      <cdr:x>0.98549</cdr:x>
      <cdr:y>0.72772</cdr:y>
    </cdr:to>
    <cdr:sp macro="" textlink="">
      <cdr:nvSpPr>
        <cdr:cNvPr id="2" name="Freeform: Shape 1"/>
        <cdr:cNvSpPr/>
      </cdr:nvSpPr>
      <cdr:spPr>
        <a:xfrm xmlns:a="http://schemas.openxmlformats.org/drawingml/2006/main">
          <a:off x="619125" y="1064496"/>
          <a:ext cx="5848351" cy="269932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48351" h="2699325">
              <a:moveTo>
                <a:pt x="0" y="1595204"/>
              </a:moveTo>
              <a:lnTo>
                <a:pt x="0" y="739123"/>
              </a:lnTo>
              <a:lnTo>
                <a:pt x="254276" y="570311"/>
              </a:lnTo>
              <a:lnTo>
                <a:pt x="508552" y="406062"/>
              </a:lnTo>
              <a:lnTo>
                <a:pt x="762828" y="0"/>
              </a:lnTo>
              <a:lnTo>
                <a:pt x="1017104" y="73000"/>
              </a:lnTo>
              <a:lnTo>
                <a:pt x="1271380" y="9126"/>
              </a:lnTo>
              <a:lnTo>
                <a:pt x="1525656" y="492749"/>
              </a:lnTo>
              <a:lnTo>
                <a:pt x="1779933" y="597686"/>
              </a:lnTo>
              <a:lnTo>
                <a:pt x="2034209" y="670686"/>
              </a:lnTo>
              <a:lnTo>
                <a:pt x="2288485" y="565748"/>
              </a:lnTo>
              <a:lnTo>
                <a:pt x="2542761" y="629623"/>
              </a:lnTo>
              <a:lnTo>
                <a:pt x="2797037" y="679811"/>
              </a:lnTo>
              <a:lnTo>
                <a:pt x="3051313" y="857747"/>
              </a:lnTo>
              <a:lnTo>
                <a:pt x="3305589" y="953560"/>
              </a:lnTo>
              <a:lnTo>
                <a:pt x="3559865" y="1053934"/>
              </a:lnTo>
              <a:lnTo>
                <a:pt x="3814141" y="1131496"/>
              </a:lnTo>
              <a:lnTo>
                <a:pt x="4068418" y="1227308"/>
              </a:lnTo>
              <a:lnTo>
                <a:pt x="4322694" y="1327683"/>
              </a:lnTo>
              <a:lnTo>
                <a:pt x="4576969" y="1455433"/>
              </a:lnTo>
              <a:lnTo>
                <a:pt x="4831246" y="1546682"/>
              </a:lnTo>
              <a:lnTo>
                <a:pt x="5085522" y="1637932"/>
              </a:lnTo>
              <a:lnTo>
                <a:pt x="5339798" y="1692682"/>
              </a:lnTo>
              <a:lnTo>
                <a:pt x="5594074" y="1770244"/>
              </a:lnTo>
              <a:lnTo>
                <a:pt x="5848350" y="1843244"/>
              </a:lnTo>
              <a:lnTo>
                <a:pt x="5848350" y="2699324"/>
              </a:lnTo>
              <a:lnTo>
                <a:pt x="5594074" y="2626325"/>
              </a:lnTo>
              <a:lnTo>
                <a:pt x="5339798" y="2548763"/>
              </a:lnTo>
              <a:lnTo>
                <a:pt x="5085522" y="2494013"/>
              </a:lnTo>
              <a:lnTo>
                <a:pt x="4831246" y="2402763"/>
              </a:lnTo>
              <a:lnTo>
                <a:pt x="4576969" y="2311513"/>
              </a:lnTo>
              <a:lnTo>
                <a:pt x="4322694" y="2183764"/>
              </a:lnTo>
              <a:lnTo>
                <a:pt x="4068418" y="2083389"/>
              </a:lnTo>
              <a:lnTo>
                <a:pt x="3814141" y="1987577"/>
              </a:lnTo>
              <a:lnTo>
                <a:pt x="3559865" y="1910015"/>
              </a:lnTo>
              <a:lnTo>
                <a:pt x="3305589" y="1809640"/>
              </a:lnTo>
              <a:lnTo>
                <a:pt x="3051313" y="1713828"/>
              </a:lnTo>
              <a:lnTo>
                <a:pt x="2797037" y="1535891"/>
              </a:lnTo>
              <a:lnTo>
                <a:pt x="2542761" y="1485704"/>
              </a:lnTo>
              <a:lnTo>
                <a:pt x="2288485" y="1421829"/>
              </a:lnTo>
              <a:lnTo>
                <a:pt x="2034209" y="1526766"/>
              </a:lnTo>
              <a:lnTo>
                <a:pt x="1779933" y="1453767"/>
              </a:lnTo>
              <a:lnTo>
                <a:pt x="1525656" y="1348829"/>
              </a:lnTo>
              <a:lnTo>
                <a:pt x="1271380" y="865206"/>
              </a:lnTo>
              <a:lnTo>
                <a:pt x="1017104" y="929081"/>
              </a:lnTo>
              <a:lnTo>
                <a:pt x="762828" y="856081"/>
              </a:lnTo>
              <a:lnTo>
                <a:pt x="508552" y="1262142"/>
              </a:lnTo>
              <a:lnTo>
                <a:pt x="254276" y="1426392"/>
              </a:lnTo>
              <a:close/>
            </a:path>
          </a:pathLst>
        </a:custGeom>
        <a:pattFill xmlns:a="http://schemas.openxmlformats.org/drawingml/2006/main" prst="pct10">
          <a:fgClr>
            <a:srgbClr val="00FFFF"/>
          </a:fgClr>
          <a:bgClr>
            <a:srgbClr val="A0A0A0"/>
          </a:bgClr>
        </a:patt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0.09434</cdr:x>
      <cdr:y>0.37134</cdr:y>
    </cdr:from>
    <cdr:to>
      <cdr:x>0.98549</cdr:x>
      <cdr:y>0.90976</cdr:y>
    </cdr:to>
    <cdr:sp macro="" textlink="">
      <cdr:nvSpPr>
        <cdr:cNvPr id="3" name="Freeform: Shape 2"/>
        <cdr:cNvSpPr/>
      </cdr:nvSpPr>
      <cdr:spPr>
        <a:xfrm xmlns:a="http://schemas.openxmlformats.org/drawingml/2006/main">
          <a:off x="619125" y="1920577"/>
          <a:ext cx="5848351" cy="27847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48351" h="2784782">
              <a:moveTo>
                <a:pt x="0" y="743747"/>
              </a:moveTo>
              <a:lnTo>
                <a:pt x="0" y="739122"/>
              </a:lnTo>
              <a:lnTo>
                <a:pt x="254276" y="570311"/>
              </a:lnTo>
              <a:lnTo>
                <a:pt x="508552" y="406061"/>
              </a:lnTo>
              <a:lnTo>
                <a:pt x="762828" y="0"/>
              </a:lnTo>
              <a:lnTo>
                <a:pt x="1017104" y="73000"/>
              </a:lnTo>
              <a:lnTo>
                <a:pt x="1271380" y="9125"/>
              </a:lnTo>
              <a:lnTo>
                <a:pt x="1525656" y="492748"/>
              </a:lnTo>
              <a:lnTo>
                <a:pt x="1779933" y="597686"/>
              </a:lnTo>
              <a:lnTo>
                <a:pt x="2034209" y="670685"/>
              </a:lnTo>
              <a:lnTo>
                <a:pt x="2288485" y="565748"/>
              </a:lnTo>
              <a:lnTo>
                <a:pt x="2542761" y="629623"/>
              </a:lnTo>
              <a:lnTo>
                <a:pt x="2797037" y="679810"/>
              </a:lnTo>
              <a:lnTo>
                <a:pt x="3051313" y="857747"/>
              </a:lnTo>
              <a:lnTo>
                <a:pt x="3305589" y="953559"/>
              </a:lnTo>
              <a:lnTo>
                <a:pt x="3559865" y="1053934"/>
              </a:lnTo>
              <a:lnTo>
                <a:pt x="3814141" y="1131496"/>
              </a:lnTo>
              <a:lnTo>
                <a:pt x="4068418" y="1227308"/>
              </a:lnTo>
              <a:lnTo>
                <a:pt x="4322694" y="1327683"/>
              </a:lnTo>
              <a:lnTo>
                <a:pt x="4576969" y="1455432"/>
              </a:lnTo>
              <a:lnTo>
                <a:pt x="4831246" y="1546682"/>
              </a:lnTo>
              <a:lnTo>
                <a:pt x="5085522" y="1637932"/>
              </a:lnTo>
              <a:lnTo>
                <a:pt x="5339798" y="1692682"/>
              </a:lnTo>
              <a:lnTo>
                <a:pt x="5594074" y="1770244"/>
              </a:lnTo>
              <a:lnTo>
                <a:pt x="5848350" y="1843243"/>
              </a:lnTo>
              <a:lnTo>
                <a:pt x="5848350" y="2784781"/>
              </a:lnTo>
              <a:lnTo>
                <a:pt x="5594074" y="2784781"/>
              </a:lnTo>
              <a:lnTo>
                <a:pt x="5339798" y="2784781"/>
              </a:lnTo>
              <a:lnTo>
                <a:pt x="5085522" y="2784781"/>
              </a:lnTo>
              <a:lnTo>
                <a:pt x="4831246" y="2784781"/>
              </a:lnTo>
              <a:lnTo>
                <a:pt x="4576969" y="2784781"/>
              </a:lnTo>
              <a:lnTo>
                <a:pt x="4322694" y="2377945"/>
              </a:lnTo>
              <a:lnTo>
                <a:pt x="4068418" y="2007701"/>
              </a:lnTo>
              <a:lnTo>
                <a:pt x="3814141" y="1734594"/>
              </a:lnTo>
              <a:lnTo>
                <a:pt x="3559865" y="1526899"/>
              </a:lnTo>
              <a:lnTo>
                <a:pt x="3305589" y="1343942"/>
              </a:lnTo>
              <a:lnTo>
                <a:pt x="3051313" y="1183726"/>
              </a:lnTo>
              <a:lnTo>
                <a:pt x="2797037" y="946976"/>
              </a:lnTo>
              <a:lnTo>
                <a:pt x="2542761" y="844909"/>
              </a:lnTo>
              <a:lnTo>
                <a:pt x="2288485" y="734672"/>
              </a:lnTo>
              <a:lnTo>
                <a:pt x="2034209" y="795440"/>
              </a:lnTo>
              <a:lnTo>
                <a:pt x="1779933" y="686894"/>
              </a:lnTo>
              <a:lnTo>
                <a:pt x="1525656" y="555113"/>
              </a:lnTo>
              <a:lnTo>
                <a:pt x="1271380" y="51579"/>
              </a:lnTo>
              <a:lnTo>
                <a:pt x="1017104" y="100117"/>
              </a:lnTo>
              <a:lnTo>
                <a:pt x="762828" y="17825"/>
              </a:lnTo>
              <a:lnTo>
                <a:pt x="508552" y="417671"/>
              </a:lnTo>
              <a:lnTo>
                <a:pt x="254276" y="577598"/>
              </a:lnTo>
              <a:close/>
            </a:path>
          </a:pathLst>
        </a:custGeom>
        <a:pattFill xmlns:a="http://schemas.openxmlformats.org/drawingml/2006/main" prst="smCheck">
          <a:fgClr>
            <a:srgbClr xmlns:mc="http://schemas.openxmlformats.org/markup-compatibility/2006" xmlns:a14="http://schemas.microsoft.com/office/drawing/2010/main" val="0000FF" mc:Ignorable="a14" a14:legacySpreadsheetColorIndex="4"/>
          </a:fgClr>
          <a:bgClr>
            <a:srgbClr val="FFFFFF"/>
          </a:bgClr>
        </a:patt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0.09434</cdr:x>
      <cdr:y>0.37478</cdr:y>
    </cdr:from>
    <cdr:to>
      <cdr:x>0.98549</cdr:x>
      <cdr:y>0.90976</cdr:y>
    </cdr:to>
    <cdr:sp macro="" textlink="">
      <cdr:nvSpPr>
        <cdr:cNvPr id="4" name="Freeform: Shape 3"/>
        <cdr:cNvSpPr/>
      </cdr:nvSpPr>
      <cdr:spPr>
        <a:xfrm xmlns:a="http://schemas.openxmlformats.org/drawingml/2006/main">
          <a:off x="619125" y="1938402"/>
          <a:ext cx="5848351" cy="276695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48351" h="2766957">
              <a:moveTo>
                <a:pt x="0" y="776958"/>
              </a:moveTo>
              <a:lnTo>
                <a:pt x="0" y="725922"/>
              </a:lnTo>
              <a:lnTo>
                <a:pt x="254276" y="559773"/>
              </a:lnTo>
              <a:lnTo>
                <a:pt x="508552" y="399846"/>
              </a:lnTo>
              <a:lnTo>
                <a:pt x="762828" y="0"/>
              </a:lnTo>
              <a:lnTo>
                <a:pt x="1017104" y="82292"/>
              </a:lnTo>
              <a:lnTo>
                <a:pt x="1271380" y="33754"/>
              </a:lnTo>
              <a:lnTo>
                <a:pt x="1525656" y="537288"/>
              </a:lnTo>
              <a:lnTo>
                <a:pt x="1779933" y="669069"/>
              </a:lnTo>
              <a:lnTo>
                <a:pt x="2034209" y="777615"/>
              </a:lnTo>
              <a:lnTo>
                <a:pt x="2288485" y="716847"/>
              </a:lnTo>
              <a:lnTo>
                <a:pt x="2542761" y="827084"/>
              </a:lnTo>
              <a:lnTo>
                <a:pt x="2797037" y="929151"/>
              </a:lnTo>
              <a:lnTo>
                <a:pt x="3051313" y="1165901"/>
              </a:lnTo>
              <a:lnTo>
                <a:pt x="3305589" y="1326117"/>
              </a:lnTo>
              <a:lnTo>
                <a:pt x="3559865" y="1509074"/>
              </a:lnTo>
              <a:lnTo>
                <a:pt x="3814141" y="1716769"/>
              </a:lnTo>
              <a:lnTo>
                <a:pt x="4068418" y="1989876"/>
              </a:lnTo>
              <a:lnTo>
                <a:pt x="4322694" y="2360120"/>
              </a:lnTo>
              <a:lnTo>
                <a:pt x="4576969" y="2766956"/>
              </a:lnTo>
              <a:lnTo>
                <a:pt x="4831246" y="2766956"/>
              </a:lnTo>
              <a:lnTo>
                <a:pt x="5085522" y="2766956"/>
              </a:lnTo>
              <a:lnTo>
                <a:pt x="5339798" y="2766956"/>
              </a:lnTo>
              <a:lnTo>
                <a:pt x="5594074" y="2766956"/>
              </a:lnTo>
              <a:lnTo>
                <a:pt x="5848350" y="2766956"/>
              </a:lnTo>
              <a:lnTo>
                <a:pt x="5848350" y="2766956"/>
              </a:lnTo>
              <a:lnTo>
                <a:pt x="5594074" y="2766956"/>
              </a:lnTo>
              <a:lnTo>
                <a:pt x="5339798" y="2766956"/>
              </a:lnTo>
              <a:lnTo>
                <a:pt x="5085522" y="2766956"/>
              </a:lnTo>
              <a:lnTo>
                <a:pt x="4831246" y="2766956"/>
              </a:lnTo>
              <a:lnTo>
                <a:pt x="4576969" y="2737316"/>
              </a:lnTo>
              <a:lnTo>
                <a:pt x="4322694" y="2147586"/>
              </a:lnTo>
              <a:lnTo>
                <a:pt x="4068418" y="1753985"/>
              </a:lnTo>
              <a:lnTo>
                <a:pt x="3814141" y="1457909"/>
              </a:lnTo>
              <a:lnTo>
                <a:pt x="3559865" y="1222231"/>
              </a:lnTo>
              <a:lnTo>
                <a:pt x="3305589" y="1011483"/>
              </a:lnTo>
              <a:lnTo>
                <a:pt x="3051313" y="822786"/>
              </a:lnTo>
              <a:lnTo>
                <a:pt x="2797037" y="558562"/>
              </a:lnTo>
              <a:lnTo>
                <a:pt x="2542761" y="441786"/>
              </a:lnTo>
              <a:lnTo>
                <a:pt x="2288485" y="352595"/>
              </a:lnTo>
              <a:lnTo>
                <a:pt x="2034209" y="587072"/>
              </a:lnTo>
              <a:lnTo>
                <a:pt x="1779933" y="975201"/>
              </a:lnTo>
              <a:lnTo>
                <a:pt x="1525656" y="1183972"/>
              </a:lnTo>
              <a:lnTo>
                <a:pt x="1271380" y="843107"/>
              </a:lnTo>
              <a:lnTo>
                <a:pt x="1017104" y="735039"/>
              </a:lnTo>
              <a:lnTo>
                <a:pt x="762828" y="391361"/>
              </a:lnTo>
              <a:lnTo>
                <a:pt x="508552" y="614549"/>
              </a:lnTo>
              <a:lnTo>
                <a:pt x="254276" y="666605"/>
              </a:lnTo>
              <a:close/>
            </a:path>
          </a:pathLst>
        </a:custGeom>
        <a:pattFill xmlns:a="http://schemas.openxmlformats.org/drawingml/2006/main" prst="narHorz">
          <a:fgClr>
            <a:srgbClr val="007F00"/>
          </a:fgClr>
          <a:bgClr>
            <a:srgbClr val="FFFFFF"/>
          </a:bgClr>
        </a:patt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0.09434</cdr:x>
      <cdr:y>0.44296</cdr:y>
    </cdr:from>
    <cdr:to>
      <cdr:x>0.98549</cdr:x>
      <cdr:y>0.90976</cdr:y>
    </cdr:to>
    <cdr:sp macro="" textlink="">
      <cdr:nvSpPr>
        <cdr:cNvPr id="5" name="Freeform: Shape 4"/>
        <cdr:cNvSpPr/>
      </cdr:nvSpPr>
      <cdr:spPr>
        <a:xfrm xmlns:a="http://schemas.openxmlformats.org/drawingml/2006/main">
          <a:off x="619125" y="2290997"/>
          <a:ext cx="5848351" cy="241436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48351" h="2414362">
              <a:moveTo>
                <a:pt x="0" y="424409"/>
              </a:moveTo>
              <a:lnTo>
                <a:pt x="0" y="424363"/>
              </a:lnTo>
              <a:lnTo>
                <a:pt x="254276" y="314010"/>
              </a:lnTo>
              <a:lnTo>
                <a:pt x="508552" y="261953"/>
              </a:lnTo>
              <a:lnTo>
                <a:pt x="762828" y="38766"/>
              </a:lnTo>
              <a:lnTo>
                <a:pt x="1017104" y="382444"/>
              </a:lnTo>
              <a:lnTo>
                <a:pt x="1271380" y="490512"/>
              </a:lnTo>
              <a:lnTo>
                <a:pt x="1525656" y="831377"/>
              </a:lnTo>
              <a:lnTo>
                <a:pt x="1779933" y="622606"/>
              </a:lnTo>
              <a:lnTo>
                <a:pt x="2034209" y="234477"/>
              </a:lnTo>
              <a:lnTo>
                <a:pt x="2288485" y="0"/>
              </a:lnTo>
              <a:lnTo>
                <a:pt x="2542761" y="89191"/>
              </a:lnTo>
              <a:lnTo>
                <a:pt x="2797037" y="205967"/>
              </a:lnTo>
              <a:lnTo>
                <a:pt x="3051313" y="470191"/>
              </a:lnTo>
              <a:lnTo>
                <a:pt x="3305589" y="658888"/>
              </a:lnTo>
              <a:lnTo>
                <a:pt x="3559865" y="869635"/>
              </a:lnTo>
              <a:lnTo>
                <a:pt x="3814141" y="1105314"/>
              </a:lnTo>
              <a:lnTo>
                <a:pt x="4068418" y="1401390"/>
              </a:lnTo>
              <a:lnTo>
                <a:pt x="4322694" y="1794991"/>
              </a:lnTo>
              <a:lnTo>
                <a:pt x="4576969" y="2384721"/>
              </a:lnTo>
              <a:lnTo>
                <a:pt x="4831246" y="2414361"/>
              </a:lnTo>
              <a:lnTo>
                <a:pt x="5085522" y="2414361"/>
              </a:lnTo>
              <a:lnTo>
                <a:pt x="5339798" y="2414361"/>
              </a:lnTo>
              <a:lnTo>
                <a:pt x="5594074" y="2414361"/>
              </a:lnTo>
              <a:lnTo>
                <a:pt x="5848350" y="2414361"/>
              </a:lnTo>
              <a:lnTo>
                <a:pt x="5848350" y="2414361"/>
              </a:lnTo>
              <a:lnTo>
                <a:pt x="5594074" y="2414361"/>
              </a:lnTo>
              <a:lnTo>
                <a:pt x="5339798" y="2414361"/>
              </a:lnTo>
              <a:lnTo>
                <a:pt x="5085522" y="2414361"/>
              </a:lnTo>
              <a:lnTo>
                <a:pt x="4831246" y="2414361"/>
              </a:lnTo>
              <a:lnTo>
                <a:pt x="4576969" y="2384767"/>
              </a:lnTo>
              <a:lnTo>
                <a:pt x="4322694" y="1795037"/>
              </a:lnTo>
              <a:lnTo>
                <a:pt x="4068418" y="1401436"/>
              </a:lnTo>
              <a:lnTo>
                <a:pt x="3814141" y="1105359"/>
              </a:lnTo>
              <a:lnTo>
                <a:pt x="3559865" y="869681"/>
              </a:lnTo>
              <a:lnTo>
                <a:pt x="3305589" y="658934"/>
              </a:lnTo>
              <a:lnTo>
                <a:pt x="3051313" y="470237"/>
              </a:lnTo>
              <a:lnTo>
                <a:pt x="2797037" y="206013"/>
              </a:lnTo>
              <a:lnTo>
                <a:pt x="2542761" y="89237"/>
              </a:lnTo>
              <a:lnTo>
                <a:pt x="2288485" y="46"/>
              </a:lnTo>
              <a:lnTo>
                <a:pt x="2034209" y="234522"/>
              </a:lnTo>
              <a:lnTo>
                <a:pt x="1779933" y="622652"/>
              </a:lnTo>
              <a:lnTo>
                <a:pt x="1525656" y="831422"/>
              </a:lnTo>
              <a:lnTo>
                <a:pt x="1271380" y="490558"/>
              </a:lnTo>
              <a:lnTo>
                <a:pt x="1017104" y="382489"/>
              </a:lnTo>
              <a:lnTo>
                <a:pt x="762828" y="38812"/>
              </a:lnTo>
              <a:lnTo>
                <a:pt x="508552" y="261999"/>
              </a:lnTo>
              <a:lnTo>
                <a:pt x="254276" y="314056"/>
              </a:lnTo>
              <a:close/>
            </a:path>
          </a:pathLst>
        </a:custGeom>
        <a:pattFill xmlns:a="http://schemas.openxmlformats.org/drawingml/2006/main" prst="dkVert">
          <a:fgClr>
            <a:srgbClr val="007F00"/>
          </a:fgClr>
          <a:bgClr>
            <a:srgbClr val="FFFFFF"/>
          </a:bgClr>
        </a:patt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0.09434</cdr:x>
      <cdr:y>0.44296</cdr:y>
    </cdr:from>
    <cdr:to>
      <cdr:x>0.98549</cdr:x>
      <cdr:y>0.90976</cdr:y>
    </cdr:to>
    <cdr:sp macro="" textlink="">
      <cdr:nvSpPr>
        <cdr:cNvPr id="6" name="Freeform: Shape 5"/>
        <cdr:cNvSpPr/>
      </cdr:nvSpPr>
      <cdr:spPr>
        <a:xfrm xmlns:a="http://schemas.openxmlformats.org/drawingml/2006/main">
          <a:off x="619125" y="2291043"/>
          <a:ext cx="5848351" cy="2414316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48351" h="2414316">
              <a:moveTo>
                <a:pt x="0" y="424408"/>
              </a:moveTo>
              <a:lnTo>
                <a:pt x="0" y="424363"/>
              </a:lnTo>
              <a:lnTo>
                <a:pt x="254276" y="314010"/>
              </a:lnTo>
              <a:lnTo>
                <a:pt x="508552" y="261953"/>
              </a:lnTo>
              <a:lnTo>
                <a:pt x="762828" y="38766"/>
              </a:lnTo>
              <a:lnTo>
                <a:pt x="1017104" y="382443"/>
              </a:lnTo>
              <a:lnTo>
                <a:pt x="1271380" y="490512"/>
              </a:lnTo>
              <a:lnTo>
                <a:pt x="1525656" y="831376"/>
              </a:lnTo>
              <a:lnTo>
                <a:pt x="1779933" y="622606"/>
              </a:lnTo>
              <a:lnTo>
                <a:pt x="2034209" y="234476"/>
              </a:lnTo>
              <a:lnTo>
                <a:pt x="2288485" y="0"/>
              </a:lnTo>
              <a:lnTo>
                <a:pt x="2542761" y="89191"/>
              </a:lnTo>
              <a:lnTo>
                <a:pt x="2797037" y="205967"/>
              </a:lnTo>
              <a:lnTo>
                <a:pt x="3051313" y="470191"/>
              </a:lnTo>
              <a:lnTo>
                <a:pt x="3305589" y="658888"/>
              </a:lnTo>
              <a:lnTo>
                <a:pt x="3559865" y="869635"/>
              </a:lnTo>
              <a:lnTo>
                <a:pt x="3814141" y="1105313"/>
              </a:lnTo>
              <a:lnTo>
                <a:pt x="4068418" y="1401390"/>
              </a:lnTo>
              <a:lnTo>
                <a:pt x="4322694" y="1794991"/>
              </a:lnTo>
              <a:lnTo>
                <a:pt x="4576969" y="2384721"/>
              </a:lnTo>
              <a:lnTo>
                <a:pt x="4831246" y="2414315"/>
              </a:lnTo>
              <a:lnTo>
                <a:pt x="5085522" y="2414315"/>
              </a:lnTo>
              <a:lnTo>
                <a:pt x="5339798" y="2414315"/>
              </a:lnTo>
              <a:lnTo>
                <a:pt x="5594074" y="2414315"/>
              </a:lnTo>
              <a:lnTo>
                <a:pt x="5848350" y="2414315"/>
              </a:lnTo>
              <a:lnTo>
                <a:pt x="5848350" y="2414315"/>
              </a:lnTo>
              <a:lnTo>
                <a:pt x="5594074" y="2414315"/>
              </a:lnTo>
              <a:lnTo>
                <a:pt x="5339798" y="2414315"/>
              </a:lnTo>
              <a:lnTo>
                <a:pt x="5085522" y="2414315"/>
              </a:lnTo>
              <a:lnTo>
                <a:pt x="4831246" y="2414315"/>
              </a:lnTo>
              <a:lnTo>
                <a:pt x="4576969" y="2384767"/>
              </a:lnTo>
              <a:lnTo>
                <a:pt x="4322694" y="1795036"/>
              </a:lnTo>
              <a:lnTo>
                <a:pt x="4068418" y="1401435"/>
              </a:lnTo>
              <a:lnTo>
                <a:pt x="3814141" y="1105359"/>
              </a:lnTo>
              <a:lnTo>
                <a:pt x="3559865" y="869681"/>
              </a:lnTo>
              <a:lnTo>
                <a:pt x="3305589" y="658934"/>
              </a:lnTo>
              <a:lnTo>
                <a:pt x="3051313" y="470237"/>
              </a:lnTo>
              <a:lnTo>
                <a:pt x="2797037" y="206013"/>
              </a:lnTo>
              <a:lnTo>
                <a:pt x="2542761" y="89237"/>
              </a:lnTo>
              <a:lnTo>
                <a:pt x="2288485" y="46"/>
              </a:lnTo>
              <a:lnTo>
                <a:pt x="2034209" y="234522"/>
              </a:lnTo>
              <a:lnTo>
                <a:pt x="1779933" y="622651"/>
              </a:lnTo>
              <a:lnTo>
                <a:pt x="1525656" y="831422"/>
              </a:lnTo>
              <a:lnTo>
                <a:pt x="1271380" y="490557"/>
              </a:lnTo>
              <a:lnTo>
                <a:pt x="1017104" y="382489"/>
              </a:lnTo>
              <a:lnTo>
                <a:pt x="762828" y="38811"/>
              </a:lnTo>
              <a:lnTo>
                <a:pt x="508552" y="261999"/>
              </a:lnTo>
              <a:lnTo>
                <a:pt x="254276" y="314055"/>
              </a:lnTo>
              <a:close/>
            </a:path>
          </a:pathLst>
        </a:custGeom>
        <a:pattFill xmlns:a="http://schemas.openxmlformats.org/drawingml/2006/main" prst="horzBrick">
          <a:fgClr>
            <a:srgbClr val="BEBEBE"/>
          </a:fgClr>
          <a:bgClr>
            <a:srgbClr val="7F0000"/>
          </a:bgClr>
        </a:pattFill>
        <a:ln xmlns:a="http://schemas.openxmlformats.org/drawingml/2006/main" w="9525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0.09434</cdr:x>
      <cdr:y>0.20582</cdr:y>
    </cdr:from>
    <cdr:to>
      <cdr:x>0.98549</cdr:x>
      <cdr:y>0.5622</cdr:y>
    </cdr:to>
    <cdr:sp macro="" textlink="">
      <cdr:nvSpPr>
        <cdr:cNvPr id="7" name="Freeform: Shape 6"/>
        <cdr:cNvSpPr/>
      </cdr:nvSpPr>
      <cdr:spPr>
        <a:xfrm xmlns:a="http://schemas.openxmlformats.org/drawingml/2006/main">
          <a:off x="619125" y="1064496"/>
          <a:ext cx="5848351" cy="1843245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48351" h="1843245">
              <a:moveTo>
                <a:pt x="0" y="739123"/>
              </a:moveTo>
              <a:lnTo>
                <a:pt x="254276" y="570311"/>
              </a:lnTo>
              <a:lnTo>
                <a:pt x="508552" y="406062"/>
              </a:lnTo>
              <a:lnTo>
                <a:pt x="762828" y="0"/>
              </a:lnTo>
              <a:lnTo>
                <a:pt x="1017104" y="73000"/>
              </a:lnTo>
              <a:lnTo>
                <a:pt x="1271380" y="9126"/>
              </a:lnTo>
              <a:lnTo>
                <a:pt x="1525656" y="492749"/>
              </a:lnTo>
              <a:lnTo>
                <a:pt x="1779933" y="597686"/>
              </a:lnTo>
              <a:lnTo>
                <a:pt x="2034209" y="670686"/>
              </a:lnTo>
              <a:lnTo>
                <a:pt x="2288485" y="565748"/>
              </a:lnTo>
              <a:lnTo>
                <a:pt x="2542761" y="629623"/>
              </a:lnTo>
              <a:lnTo>
                <a:pt x="2797037" y="679811"/>
              </a:lnTo>
              <a:lnTo>
                <a:pt x="3051313" y="857747"/>
              </a:lnTo>
              <a:lnTo>
                <a:pt x="3305589" y="953560"/>
              </a:lnTo>
              <a:lnTo>
                <a:pt x="3559865" y="1053934"/>
              </a:lnTo>
              <a:lnTo>
                <a:pt x="3814141" y="1131496"/>
              </a:lnTo>
              <a:lnTo>
                <a:pt x="4068418" y="1227308"/>
              </a:lnTo>
              <a:lnTo>
                <a:pt x="4322694" y="1327683"/>
              </a:lnTo>
              <a:lnTo>
                <a:pt x="4576969" y="1455433"/>
              </a:lnTo>
              <a:lnTo>
                <a:pt x="4831246" y="1546682"/>
              </a:lnTo>
              <a:lnTo>
                <a:pt x="5085522" y="1637932"/>
              </a:lnTo>
              <a:lnTo>
                <a:pt x="5339798" y="1692682"/>
              </a:lnTo>
              <a:lnTo>
                <a:pt x="5594074" y="1770244"/>
              </a:lnTo>
              <a:lnTo>
                <a:pt x="5848350" y="1843244"/>
              </a:lnTo>
            </a:path>
          </a:pathLst>
        </a:custGeom>
        <a:ln xmlns:a="http://schemas.openxmlformats.org/drawingml/2006/main" w="25400">
          <a:solidFill>
            <a:srgbClr val="00FFFF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0.09434</cdr:x>
      <cdr:y>0.44297</cdr:y>
    </cdr:from>
    <cdr:to>
      <cdr:x>0.52054</cdr:x>
      <cdr:y>0.60372</cdr:y>
    </cdr:to>
    <cdr:sp macro="" textlink="">
      <cdr:nvSpPr>
        <cdr:cNvPr id="8" name="Freeform: Shape 7"/>
        <cdr:cNvSpPr/>
      </cdr:nvSpPr>
      <cdr:spPr>
        <a:xfrm xmlns:a="http://schemas.openxmlformats.org/drawingml/2006/main">
          <a:off x="619125" y="2291089"/>
          <a:ext cx="2797038" cy="831377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2797038" h="831377">
              <a:moveTo>
                <a:pt x="0" y="424362"/>
              </a:moveTo>
              <a:lnTo>
                <a:pt x="254276" y="314009"/>
              </a:lnTo>
              <a:lnTo>
                <a:pt x="508552" y="261953"/>
              </a:lnTo>
              <a:lnTo>
                <a:pt x="762828" y="38765"/>
              </a:lnTo>
              <a:lnTo>
                <a:pt x="1017104" y="382443"/>
              </a:lnTo>
              <a:lnTo>
                <a:pt x="1271380" y="490511"/>
              </a:lnTo>
              <a:lnTo>
                <a:pt x="1525656" y="831376"/>
              </a:lnTo>
              <a:lnTo>
                <a:pt x="1779933" y="622605"/>
              </a:lnTo>
              <a:lnTo>
                <a:pt x="2034209" y="234476"/>
              </a:lnTo>
              <a:lnTo>
                <a:pt x="2288485" y="0"/>
              </a:lnTo>
              <a:lnTo>
                <a:pt x="2542761" y="89191"/>
              </a:lnTo>
              <a:lnTo>
                <a:pt x="2797037" y="205967"/>
              </a:lnTo>
            </a:path>
          </a:pathLst>
        </a:custGeom>
        <a:ln xmlns:a="http://schemas.openxmlformats.org/drawingml/2006/main" w="25400">
          <a:solidFill>
            <a:srgbClr val="00FF0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0.09434</cdr:x>
      <cdr:y>0.43977</cdr:y>
    </cdr:from>
    <cdr:to>
      <cdr:x>0.98549</cdr:x>
      <cdr:y>0.90976</cdr:y>
    </cdr:to>
    <cdr:sp macro="" textlink="">
      <cdr:nvSpPr>
        <cdr:cNvPr id="9" name="Freeform: Shape 8"/>
        <cdr:cNvSpPr/>
      </cdr:nvSpPr>
      <cdr:spPr>
        <a:xfrm xmlns:a="http://schemas.openxmlformats.org/drawingml/2006/main">
          <a:off x="619125" y="2274536"/>
          <a:ext cx="5848351" cy="24308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48351" h="2430823">
              <a:moveTo>
                <a:pt x="0" y="172254"/>
              </a:moveTo>
              <a:lnTo>
                <a:pt x="254276" y="56881"/>
              </a:lnTo>
              <a:lnTo>
                <a:pt x="508552" y="43438"/>
              </a:lnTo>
              <a:lnTo>
                <a:pt x="762828" y="13080"/>
              </a:lnTo>
              <a:lnTo>
                <a:pt x="1017104" y="182930"/>
              </a:lnTo>
              <a:lnTo>
                <a:pt x="1271380" y="387119"/>
              </a:lnTo>
              <a:lnTo>
                <a:pt x="1525656" y="657199"/>
              </a:lnTo>
              <a:lnTo>
                <a:pt x="1779933" y="495100"/>
              </a:lnTo>
              <a:lnTo>
                <a:pt x="2034209" y="187366"/>
              </a:lnTo>
              <a:lnTo>
                <a:pt x="2288485" y="0"/>
              </a:lnTo>
              <a:lnTo>
                <a:pt x="2542761" y="73990"/>
              </a:lnTo>
              <a:lnTo>
                <a:pt x="2797037" y="222520"/>
              </a:lnTo>
              <a:lnTo>
                <a:pt x="3051313" y="486744"/>
              </a:lnTo>
              <a:lnTo>
                <a:pt x="3305589" y="675441"/>
              </a:lnTo>
              <a:lnTo>
                <a:pt x="3559865" y="886188"/>
              </a:lnTo>
              <a:lnTo>
                <a:pt x="3814141" y="1121866"/>
              </a:lnTo>
              <a:lnTo>
                <a:pt x="4068418" y="1417942"/>
              </a:lnTo>
              <a:lnTo>
                <a:pt x="4322694" y="1811543"/>
              </a:lnTo>
              <a:lnTo>
                <a:pt x="4576969" y="2401274"/>
              </a:lnTo>
              <a:lnTo>
                <a:pt x="4831246" y="2430822"/>
              </a:lnTo>
              <a:lnTo>
                <a:pt x="5085522" y="2430822"/>
              </a:lnTo>
              <a:lnTo>
                <a:pt x="5339798" y="2430822"/>
              </a:lnTo>
              <a:lnTo>
                <a:pt x="5594074" y="2430822"/>
              </a:lnTo>
              <a:lnTo>
                <a:pt x="5848350" y="2430822"/>
              </a:lnTo>
            </a:path>
          </a:pathLst>
        </a:custGeom>
        <a:ln xmlns:a="http://schemas.openxmlformats.org/drawingml/2006/main" w="9525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0.09434</cdr:x>
      <cdr:y>0.43977</cdr:y>
    </cdr:from>
    <cdr:to>
      <cdr:x>0.98549</cdr:x>
      <cdr:y>0.90976</cdr:y>
    </cdr:to>
    <cdr:sp macro="" textlink="">
      <cdr:nvSpPr>
        <cdr:cNvPr id="10" name="Freeform: Shape 9"/>
        <cdr:cNvSpPr/>
      </cdr:nvSpPr>
      <cdr:spPr>
        <a:xfrm xmlns:a="http://schemas.openxmlformats.org/drawingml/2006/main">
          <a:off x="619125" y="2274536"/>
          <a:ext cx="5848351" cy="243082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48351" h="2430823">
              <a:moveTo>
                <a:pt x="0" y="172254"/>
              </a:moveTo>
              <a:lnTo>
                <a:pt x="254276" y="56881"/>
              </a:lnTo>
              <a:lnTo>
                <a:pt x="508552" y="43438"/>
              </a:lnTo>
              <a:lnTo>
                <a:pt x="762828" y="13080"/>
              </a:lnTo>
              <a:lnTo>
                <a:pt x="1017104" y="182930"/>
              </a:lnTo>
              <a:lnTo>
                <a:pt x="1271380" y="387119"/>
              </a:lnTo>
              <a:lnTo>
                <a:pt x="1525656" y="657199"/>
              </a:lnTo>
              <a:lnTo>
                <a:pt x="1779933" y="495100"/>
              </a:lnTo>
              <a:lnTo>
                <a:pt x="2034209" y="187366"/>
              </a:lnTo>
              <a:lnTo>
                <a:pt x="2288485" y="0"/>
              </a:lnTo>
              <a:lnTo>
                <a:pt x="2542761" y="73990"/>
              </a:lnTo>
              <a:lnTo>
                <a:pt x="2797037" y="222520"/>
              </a:lnTo>
              <a:lnTo>
                <a:pt x="3051313" y="486744"/>
              </a:lnTo>
              <a:lnTo>
                <a:pt x="3305589" y="675441"/>
              </a:lnTo>
              <a:lnTo>
                <a:pt x="3559865" y="886188"/>
              </a:lnTo>
              <a:lnTo>
                <a:pt x="3814141" y="1121866"/>
              </a:lnTo>
              <a:lnTo>
                <a:pt x="4068418" y="1417942"/>
              </a:lnTo>
              <a:lnTo>
                <a:pt x="4322694" y="1811543"/>
              </a:lnTo>
              <a:lnTo>
                <a:pt x="4576969" y="2401274"/>
              </a:lnTo>
              <a:lnTo>
                <a:pt x="4831246" y="2430822"/>
              </a:lnTo>
              <a:lnTo>
                <a:pt x="5085522" y="2430822"/>
              </a:lnTo>
              <a:lnTo>
                <a:pt x="5339798" y="2430822"/>
              </a:lnTo>
              <a:lnTo>
                <a:pt x="5594074" y="2430822"/>
              </a:lnTo>
              <a:lnTo>
                <a:pt x="5848350" y="2430822"/>
              </a:lnTo>
            </a:path>
          </a:pathLst>
        </a:custGeom>
        <a:ln xmlns:a="http://schemas.openxmlformats.org/drawingml/2006/main" w="38100">
          <a:solidFill>
            <a:srgbClr val="00FF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0.09434</cdr:x>
      <cdr:y>0.37166</cdr:y>
    </cdr:from>
    <cdr:to>
      <cdr:x>0.98549</cdr:x>
      <cdr:y>0.72451</cdr:y>
    </cdr:to>
    <cdr:sp macro="" textlink="">
      <cdr:nvSpPr>
        <cdr:cNvPr id="11" name="Freeform: Shape 10"/>
        <cdr:cNvSpPr/>
      </cdr:nvSpPr>
      <cdr:spPr>
        <a:xfrm xmlns:a="http://schemas.openxmlformats.org/drawingml/2006/main">
          <a:off x="619125" y="1922243"/>
          <a:ext cx="5848351" cy="1824994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48351" h="1824994">
              <a:moveTo>
                <a:pt x="0" y="0"/>
              </a:moveTo>
              <a:lnTo>
                <a:pt x="254276" y="0"/>
              </a:lnTo>
              <a:lnTo>
                <a:pt x="508552" y="0"/>
              </a:lnTo>
              <a:lnTo>
                <a:pt x="762828" y="45625"/>
              </a:lnTo>
              <a:lnTo>
                <a:pt x="1017104" y="45625"/>
              </a:lnTo>
              <a:lnTo>
                <a:pt x="1271380" y="91250"/>
              </a:lnTo>
              <a:lnTo>
                <a:pt x="1525656" y="136875"/>
              </a:lnTo>
              <a:lnTo>
                <a:pt x="1779933" y="182500"/>
              </a:lnTo>
              <a:lnTo>
                <a:pt x="2034209" y="228125"/>
              </a:lnTo>
              <a:lnTo>
                <a:pt x="2288485" y="273749"/>
              </a:lnTo>
              <a:lnTo>
                <a:pt x="2542761" y="319374"/>
              </a:lnTo>
              <a:lnTo>
                <a:pt x="2797037" y="410624"/>
              </a:lnTo>
              <a:lnTo>
                <a:pt x="3051313" y="501874"/>
              </a:lnTo>
              <a:lnTo>
                <a:pt x="3305589" y="593123"/>
              </a:lnTo>
              <a:lnTo>
                <a:pt x="3559865" y="684373"/>
              </a:lnTo>
              <a:lnTo>
                <a:pt x="3814141" y="775623"/>
              </a:lnTo>
              <a:lnTo>
                <a:pt x="4068418" y="866872"/>
              </a:lnTo>
              <a:lnTo>
                <a:pt x="4322694" y="1003747"/>
              </a:lnTo>
              <a:lnTo>
                <a:pt x="4576969" y="1140621"/>
              </a:lnTo>
              <a:lnTo>
                <a:pt x="4831246" y="1277496"/>
              </a:lnTo>
              <a:lnTo>
                <a:pt x="5085522" y="1414370"/>
              </a:lnTo>
              <a:lnTo>
                <a:pt x="5339798" y="1596869"/>
              </a:lnTo>
              <a:lnTo>
                <a:pt x="5594074" y="1824993"/>
              </a:lnTo>
              <a:lnTo>
                <a:pt x="5848350" y="1824993"/>
              </a:lnTo>
            </a:path>
          </a:pathLst>
        </a:custGeom>
        <a:ln xmlns:a="http://schemas.openxmlformats.org/drawingml/2006/main" w="25400">
          <a:solidFill>
            <a:srgbClr val="FF0000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0.09434</cdr:x>
      <cdr:y>0.4537</cdr:y>
    </cdr:from>
    <cdr:to>
      <cdr:x>0.98549</cdr:x>
      <cdr:y>0.85595</cdr:y>
    </cdr:to>
    <cdr:sp macro="" textlink="">
      <cdr:nvSpPr>
        <cdr:cNvPr id="12" name="Freeform: Shape 11"/>
        <cdr:cNvSpPr/>
      </cdr:nvSpPr>
      <cdr:spPr>
        <a:xfrm xmlns:a="http://schemas.openxmlformats.org/drawingml/2006/main">
          <a:off x="619125" y="2346554"/>
          <a:ext cx="5848351" cy="20804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48351" h="2080493">
              <a:moveTo>
                <a:pt x="0" y="0"/>
              </a:moveTo>
              <a:lnTo>
                <a:pt x="254276" y="278312"/>
              </a:lnTo>
              <a:lnTo>
                <a:pt x="508552" y="542936"/>
              </a:lnTo>
              <a:lnTo>
                <a:pt x="762828" y="757372"/>
              </a:lnTo>
              <a:lnTo>
                <a:pt x="1017104" y="953559"/>
              </a:lnTo>
              <a:lnTo>
                <a:pt x="1271380" y="1136059"/>
              </a:lnTo>
              <a:lnTo>
                <a:pt x="1525656" y="1272933"/>
              </a:lnTo>
              <a:lnTo>
                <a:pt x="1779933" y="1391558"/>
              </a:lnTo>
              <a:lnTo>
                <a:pt x="2034209" y="1491932"/>
              </a:lnTo>
              <a:lnTo>
                <a:pt x="2288485" y="1574057"/>
              </a:lnTo>
              <a:lnTo>
                <a:pt x="2542761" y="1628807"/>
              </a:lnTo>
              <a:lnTo>
                <a:pt x="2797037" y="1674432"/>
              </a:lnTo>
              <a:lnTo>
                <a:pt x="3051313" y="1701806"/>
              </a:lnTo>
              <a:lnTo>
                <a:pt x="3305589" y="1710931"/>
              </a:lnTo>
              <a:lnTo>
                <a:pt x="3559865" y="1729181"/>
              </a:lnTo>
              <a:lnTo>
                <a:pt x="3814141" y="1783931"/>
              </a:lnTo>
              <a:lnTo>
                <a:pt x="4068418" y="1856931"/>
              </a:lnTo>
              <a:lnTo>
                <a:pt x="4322694" y="1957305"/>
              </a:lnTo>
              <a:lnTo>
                <a:pt x="4576969" y="2062243"/>
              </a:lnTo>
              <a:lnTo>
                <a:pt x="4831246" y="2080492"/>
              </a:lnTo>
              <a:lnTo>
                <a:pt x="5085522" y="1952743"/>
              </a:lnTo>
              <a:lnTo>
                <a:pt x="5339798" y="1605994"/>
              </a:lnTo>
              <a:lnTo>
                <a:pt x="5594074" y="1204496"/>
              </a:lnTo>
              <a:lnTo>
                <a:pt x="5848350" y="1154309"/>
              </a:lnTo>
            </a:path>
          </a:pathLst>
        </a:custGeom>
        <a:ln xmlns:a="http://schemas.openxmlformats.org/drawingml/2006/main" w="9525">
          <a:solidFill>
            <a:srgbClr val="FF0000"/>
          </a:solidFill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0.09434</cdr:x>
      <cdr:y>0.35416</cdr:y>
    </cdr:from>
    <cdr:to>
      <cdr:x>0.98549</cdr:x>
      <cdr:y>0.8054</cdr:y>
    </cdr:to>
    <cdr:sp macro="" textlink="">
      <cdr:nvSpPr>
        <cdr:cNvPr id="13" name="Freeform: Shape 12"/>
        <cdr:cNvSpPr/>
      </cdr:nvSpPr>
      <cdr:spPr>
        <a:xfrm xmlns:a="http://schemas.openxmlformats.org/drawingml/2006/main">
          <a:off x="619125" y="1831718"/>
          <a:ext cx="5848351" cy="2333882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48351" h="2333882">
              <a:moveTo>
                <a:pt x="0" y="19356"/>
              </a:moveTo>
              <a:lnTo>
                <a:pt x="254276" y="1043"/>
              </a:lnTo>
              <a:lnTo>
                <a:pt x="508552" y="0"/>
              </a:lnTo>
              <a:lnTo>
                <a:pt x="762828" y="67958"/>
              </a:lnTo>
              <a:lnTo>
                <a:pt x="1017104" y="116357"/>
              </a:lnTo>
              <a:lnTo>
                <a:pt x="1271380" y="175988"/>
              </a:lnTo>
              <a:lnTo>
                <a:pt x="1525656" y="242615"/>
              </a:lnTo>
              <a:lnTo>
                <a:pt x="1779933" y="305301"/>
              </a:lnTo>
              <a:lnTo>
                <a:pt x="2034209" y="371949"/>
              </a:lnTo>
              <a:lnTo>
                <a:pt x="2288485" y="442721"/>
              </a:lnTo>
              <a:lnTo>
                <a:pt x="2542761" y="515116"/>
              </a:lnTo>
              <a:lnTo>
                <a:pt x="2797037" y="652616"/>
              </a:lnTo>
              <a:lnTo>
                <a:pt x="3051313" y="762104"/>
              </a:lnTo>
              <a:lnTo>
                <a:pt x="3305589" y="873884"/>
              </a:lnTo>
              <a:lnTo>
                <a:pt x="3559865" y="987952"/>
              </a:lnTo>
              <a:lnTo>
                <a:pt x="3814141" y="1102004"/>
              </a:lnTo>
              <a:lnTo>
                <a:pt x="4068418" y="1216069"/>
              </a:lnTo>
              <a:lnTo>
                <a:pt x="4322694" y="1375759"/>
              </a:lnTo>
              <a:lnTo>
                <a:pt x="4576969" y="1535444"/>
              </a:lnTo>
              <a:lnTo>
                <a:pt x="4831246" y="1695131"/>
              </a:lnTo>
              <a:lnTo>
                <a:pt x="5085522" y="1854817"/>
              </a:lnTo>
              <a:lnTo>
                <a:pt x="5339798" y="2060129"/>
              </a:lnTo>
              <a:lnTo>
                <a:pt x="5594074" y="2311069"/>
              </a:lnTo>
              <a:lnTo>
                <a:pt x="5848350" y="2333881"/>
              </a:lnTo>
            </a:path>
          </a:pathLst>
        </a:custGeom>
        <a:ln xmlns:a="http://schemas.openxmlformats.org/drawingml/2006/main" w="9525">
          <a:solidFill>
            <a:srgbClr val="FF0000"/>
          </a:solidFill>
          <a:prstDash val="lg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0.09434</cdr:x>
      <cdr:y>0.35416</cdr:y>
    </cdr:from>
    <cdr:to>
      <cdr:x>0.98549</cdr:x>
      <cdr:y>0.75247</cdr:y>
    </cdr:to>
    <cdr:sp macro="" textlink="">
      <cdr:nvSpPr>
        <cdr:cNvPr id="14" name="Freeform: Shape 13"/>
        <cdr:cNvSpPr/>
      </cdr:nvSpPr>
      <cdr:spPr>
        <a:xfrm xmlns:a="http://schemas.openxmlformats.org/drawingml/2006/main">
          <a:off x="619125" y="1831718"/>
          <a:ext cx="5848351" cy="20601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48351" h="2060130">
              <a:moveTo>
                <a:pt x="0" y="19356"/>
              </a:moveTo>
              <a:lnTo>
                <a:pt x="254276" y="1043"/>
              </a:lnTo>
              <a:lnTo>
                <a:pt x="508552" y="0"/>
              </a:lnTo>
              <a:lnTo>
                <a:pt x="762828" y="67958"/>
              </a:lnTo>
              <a:lnTo>
                <a:pt x="1017104" y="116357"/>
              </a:lnTo>
              <a:lnTo>
                <a:pt x="1271380" y="175988"/>
              </a:lnTo>
              <a:lnTo>
                <a:pt x="1525656" y="242615"/>
              </a:lnTo>
              <a:lnTo>
                <a:pt x="1779933" y="305301"/>
              </a:lnTo>
              <a:lnTo>
                <a:pt x="2034209" y="371949"/>
              </a:lnTo>
              <a:lnTo>
                <a:pt x="2288485" y="442721"/>
              </a:lnTo>
              <a:lnTo>
                <a:pt x="2542761" y="515116"/>
              </a:lnTo>
              <a:lnTo>
                <a:pt x="2797037" y="652616"/>
              </a:lnTo>
              <a:lnTo>
                <a:pt x="3051313" y="762104"/>
              </a:lnTo>
              <a:lnTo>
                <a:pt x="3305589" y="873884"/>
              </a:lnTo>
              <a:lnTo>
                <a:pt x="3559865" y="987952"/>
              </a:lnTo>
              <a:lnTo>
                <a:pt x="3814141" y="1102004"/>
              </a:lnTo>
              <a:lnTo>
                <a:pt x="4068418" y="1216069"/>
              </a:lnTo>
              <a:lnTo>
                <a:pt x="4322694" y="1375759"/>
              </a:lnTo>
              <a:lnTo>
                <a:pt x="4576969" y="1535444"/>
              </a:lnTo>
              <a:lnTo>
                <a:pt x="4831246" y="1695131"/>
              </a:lnTo>
              <a:lnTo>
                <a:pt x="5085522" y="1854817"/>
              </a:lnTo>
              <a:lnTo>
                <a:pt x="5339798" y="2060129"/>
              </a:lnTo>
              <a:lnTo>
                <a:pt x="5594074" y="1719332"/>
              </a:lnTo>
              <a:lnTo>
                <a:pt x="5848350" y="1669145"/>
              </a:lnTo>
            </a:path>
          </a:pathLst>
        </a:custGeom>
        <a:ln xmlns:a="http://schemas.openxmlformats.org/drawingml/2006/main" w="9525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prstDash val="soli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0.09434</cdr:x>
      <cdr:y>0.35416</cdr:y>
    </cdr:from>
    <cdr:to>
      <cdr:x>0.98549</cdr:x>
      <cdr:y>0.75247</cdr:y>
    </cdr:to>
    <cdr:sp macro="" textlink="">
      <cdr:nvSpPr>
        <cdr:cNvPr id="15" name="Freeform: Shape 14"/>
        <cdr:cNvSpPr/>
      </cdr:nvSpPr>
      <cdr:spPr>
        <a:xfrm xmlns:a="http://schemas.openxmlformats.org/drawingml/2006/main">
          <a:off x="619125" y="1831718"/>
          <a:ext cx="5848351" cy="2060130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5848351" h="2060130">
              <a:moveTo>
                <a:pt x="0" y="19356"/>
              </a:moveTo>
              <a:lnTo>
                <a:pt x="254276" y="1043"/>
              </a:lnTo>
              <a:lnTo>
                <a:pt x="508552" y="0"/>
              </a:lnTo>
              <a:lnTo>
                <a:pt x="762828" y="67958"/>
              </a:lnTo>
              <a:lnTo>
                <a:pt x="1017104" y="116357"/>
              </a:lnTo>
              <a:lnTo>
                <a:pt x="1271380" y="175988"/>
              </a:lnTo>
              <a:lnTo>
                <a:pt x="1525656" y="242615"/>
              </a:lnTo>
              <a:lnTo>
                <a:pt x="1779933" y="305301"/>
              </a:lnTo>
              <a:lnTo>
                <a:pt x="2034209" y="371949"/>
              </a:lnTo>
              <a:lnTo>
                <a:pt x="2288485" y="442721"/>
              </a:lnTo>
              <a:lnTo>
                <a:pt x="2542761" y="515116"/>
              </a:lnTo>
              <a:lnTo>
                <a:pt x="2797037" y="652616"/>
              </a:lnTo>
              <a:lnTo>
                <a:pt x="3051313" y="762104"/>
              </a:lnTo>
              <a:lnTo>
                <a:pt x="3305589" y="873884"/>
              </a:lnTo>
              <a:lnTo>
                <a:pt x="3559865" y="987952"/>
              </a:lnTo>
              <a:lnTo>
                <a:pt x="3814141" y="1102004"/>
              </a:lnTo>
              <a:lnTo>
                <a:pt x="4068418" y="1216069"/>
              </a:lnTo>
              <a:lnTo>
                <a:pt x="4322694" y="1375759"/>
              </a:lnTo>
              <a:lnTo>
                <a:pt x="4576969" y="1535444"/>
              </a:lnTo>
              <a:lnTo>
                <a:pt x="4831246" y="1695131"/>
              </a:lnTo>
              <a:lnTo>
                <a:pt x="5085522" y="1854817"/>
              </a:lnTo>
              <a:lnTo>
                <a:pt x="5339798" y="2060129"/>
              </a:lnTo>
              <a:lnTo>
                <a:pt x="5594074" y="1719332"/>
              </a:lnTo>
              <a:lnTo>
                <a:pt x="5848350" y="1669145"/>
              </a:lnTo>
            </a:path>
          </a:pathLst>
        </a:custGeom>
        <a:ln xmlns:a="http://schemas.openxmlformats.org/drawingml/2006/main" w="38100">
          <a:solidFill>
            <a:srgbClr val="FF0000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428625</xdr:colOff>
      <xdr:row>32</xdr:row>
      <xdr:rowOff>133350</xdr:rowOff>
    </xdr:to>
    <xdr:grpSp>
      <xdr:nvGrpSpPr>
        <xdr:cNvPr id="539272" name="Group 32903">
          <a:extLst>
            <a:ext uri="{FF2B5EF4-FFF2-40B4-BE49-F238E27FC236}">
              <a16:creationId xmlns:a16="http://schemas.microsoft.com/office/drawing/2014/main" id="{4D6CF6BD-729E-0E0D-B131-0A2E68F89FEB}"/>
            </a:ext>
          </a:extLst>
        </xdr:cNvPr>
        <xdr:cNvGrpSpPr>
          <a:grpSpLocks/>
        </xdr:cNvGrpSpPr>
      </xdr:nvGrpSpPr>
      <xdr:grpSpPr bwMode="auto">
        <a:xfrm>
          <a:off x="0" y="0"/>
          <a:ext cx="7134225" cy="5362575"/>
          <a:chOff x="672" y="384"/>
          <a:chExt cx="4406" cy="3264"/>
        </a:xfrm>
      </xdr:grpSpPr>
      <xdr:pic>
        <xdr:nvPicPr>
          <xdr:cNvPr id="539275" name="Picture 32904">
            <a:extLst>
              <a:ext uri="{FF2B5EF4-FFF2-40B4-BE49-F238E27FC236}">
                <a16:creationId xmlns:a16="http://schemas.microsoft.com/office/drawing/2014/main" id="{EF255D9C-248E-E388-2F6A-AFA81D0143A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72" y="384"/>
            <a:ext cx="4406" cy="326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539276" name="Line 32905">
            <a:extLst>
              <a:ext uri="{FF2B5EF4-FFF2-40B4-BE49-F238E27FC236}">
                <a16:creationId xmlns:a16="http://schemas.microsoft.com/office/drawing/2014/main" id="{54D76BDA-D477-3B5C-A213-D24E60EAD543}"/>
              </a:ext>
            </a:extLst>
          </xdr:cNvPr>
          <xdr:cNvSpPr>
            <a:spLocks noChangeShapeType="1"/>
          </xdr:cNvSpPr>
        </xdr:nvSpPr>
        <xdr:spPr bwMode="auto">
          <a:xfrm flipH="1">
            <a:off x="1968" y="624"/>
            <a:ext cx="217" cy="432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38762" name="Text Box 32906">
            <a:extLst>
              <a:ext uri="{FF2B5EF4-FFF2-40B4-BE49-F238E27FC236}">
                <a16:creationId xmlns:a16="http://schemas.microsoft.com/office/drawing/2014/main" id="{F72B7C2D-F676-F1A9-358A-FA15B1B7AD59}"/>
              </a:ext>
            </a:extLst>
          </xdr:cNvPr>
          <xdr:cNvSpPr txBox="1">
            <a:spLocks noChangeArrowheads="1"/>
          </xdr:cNvSpPr>
        </xdr:nvSpPr>
        <xdr:spPr bwMode="auto">
          <a:xfrm>
            <a:off x="2125" y="512"/>
            <a:ext cx="659" cy="20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lnSpc>
                <a:spcPts val="1700"/>
              </a:lnSpc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Target</a:t>
            </a:r>
            <a:r>
              <a:rPr lang="en-US" sz="16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</a:t>
            </a:r>
          </a:p>
          <a:p>
            <a:pPr algn="l" rtl="0">
              <a:lnSpc>
                <a:spcPts val="1600"/>
              </a:lnSpc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539278" name="Line 32907">
            <a:extLst>
              <a:ext uri="{FF2B5EF4-FFF2-40B4-BE49-F238E27FC236}">
                <a16:creationId xmlns:a16="http://schemas.microsoft.com/office/drawing/2014/main" id="{8248520F-BA11-C666-5B08-49EE2329C99A}"/>
              </a:ext>
            </a:extLst>
          </xdr:cNvPr>
          <xdr:cNvSpPr>
            <a:spLocks noChangeShapeType="1"/>
          </xdr:cNvSpPr>
        </xdr:nvSpPr>
        <xdr:spPr bwMode="auto">
          <a:xfrm flipH="1">
            <a:off x="2166" y="1200"/>
            <a:ext cx="153" cy="528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38764" name="Text Box 32908">
            <a:extLst>
              <a:ext uri="{FF2B5EF4-FFF2-40B4-BE49-F238E27FC236}">
                <a16:creationId xmlns:a16="http://schemas.microsoft.com/office/drawing/2014/main" id="{94A7484A-1535-FB71-AF73-2DBC27091A89}"/>
              </a:ext>
            </a:extLst>
          </xdr:cNvPr>
          <xdr:cNvSpPr txBox="1">
            <a:spLocks noChangeArrowheads="1"/>
          </xdr:cNvSpPr>
        </xdr:nvSpPr>
        <xdr:spPr bwMode="auto">
          <a:xfrm>
            <a:off x="1972" y="883"/>
            <a:ext cx="818" cy="3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Spherical Spreading</a:t>
            </a:r>
          </a:p>
          <a:p>
            <a:pPr algn="l" rtl="0">
              <a:lnSpc>
                <a:spcPts val="1400"/>
              </a:lnSpc>
              <a:defRPr sz="1000"/>
            </a:pPr>
            <a:endParaRPr lang="en-US" sz="14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539280" name="Line 32909">
            <a:extLst>
              <a:ext uri="{FF2B5EF4-FFF2-40B4-BE49-F238E27FC236}">
                <a16:creationId xmlns:a16="http://schemas.microsoft.com/office/drawing/2014/main" id="{308098FC-5C26-E740-DCDD-91E421DFAF0B}"/>
              </a:ext>
            </a:extLst>
          </xdr:cNvPr>
          <xdr:cNvSpPr>
            <a:spLocks noChangeShapeType="1"/>
          </xdr:cNvSpPr>
        </xdr:nvSpPr>
        <xdr:spPr bwMode="auto">
          <a:xfrm flipH="1">
            <a:off x="3798" y="1392"/>
            <a:ext cx="186" cy="1302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38766" name="Text Box 32910">
            <a:extLst>
              <a:ext uri="{FF2B5EF4-FFF2-40B4-BE49-F238E27FC236}">
                <a16:creationId xmlns:a16="http://schemas.microsoft.com/office/drawing/2014/main" id="{74FCD44F-A548-2A0F-954D-7B7AC90D75A8}"/>
              </a:ext>
            </a:extLst>
          </xdr:cNvPr>
          <xdr:cNvSpPr txBox="1">
            <a:spLocks noChangeArrowheads="1"/>
          </xdr:cNvSpPr>
        </xdr:nvSpPr>
        <xdr:spPr bwMode="auto">
          <a:xfrm>
            <a:off x="3513" y="1051"/>
            <a:ext cx="1024" cy="3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Max Critical Band Noise</a:t>
            </a:r>
          </a:p>
          <a:p>
            <a:pPr algn="l" rtl="0">
              <a:lnSpc>
                <a:spcPts val="1400"/>
              </a:lnSpc>
              <a:defRPr sz="1000"/>
            </a:pPr>
            <a:endParaRPr lang="en-US" sz="14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539282" name="Line 32911">
            <a:extLst>
              <a:ext uri="{FF2B5EF4-FFF2-40B4-BE49-F238E27FC236}">
                <a16:creationId xmlns:a16="http://schemas.microsoft.com/office/drawing/2014/main" id="{86FA969B-73DB-FDF6-38BA-1788DD30BC6B}"/>
              </a:ext>
            </a:extLst>
          </xdr:cNvPr>
          <xdr:cNvSpPr>
            <a:spLocks noChangeShapeType="1"/>
          </xdr:cNvSpPr>
        </xdr:nvSpPr>
        <xdr:spPr bwMode="auto">
          <a:xfrm>
            <a:off x="1542" y="2400"/>
            <a:ext cx="817" cy="96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38768" name="Text Box 32912">
            <a:extLst>
              <a:ext uri="{FF2B5EF4-FFF2-40B4-BE49-F238E27FC236}">
                <a16:creationId xmlns:a16="http://schemas.microsoft.com/office/drawing/2014/main" id="{0CD85C2F-92C2-CFC6-1220-7B15995F789D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66" y="2291"/>
            <a:ext cx="818" cy="3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Ground Absorption</a:t>
            </a:r>
          </a:p>
          <a:p>
            <a:pPr algn="l" rtl="0">
              <a:lnSpc>
                <a:spcPts val="1400"/>
              </a:lnSpc>
              <a:defRPr sz="1000"/>
            </a:pPr>
            <a:endParaRPr lang="en-US" sz="14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538769" name="Text Box 32913">
            <a:extLst>
              <a:ext uri="{FF2B5EF4-FFF2-40B4-BE49-F238E27FC236}">
                <a16:creationId xmlns:a16="http://schemas.microsoft.com/office/drawing/2014/main" id="{6044D146-B207-D297-DFE9-3CB9B4E76F45}"/>
              </a:ext>
            </a:extLst>
          </xdr:cNvPr>
          <xdr:cNvSpPr txBox="1">
            <a:spLocks noChangeArrowheads="1"/>
          </xdr:cNvSpPr>
        </xdr:nvSpPr>
        <xdr:spPr bwMode="auto">
          <a:xfrm>
            <a:off x="2984" y="599"/>
            <a:ext cx="1800" cy="3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Background  Noise with TSD bandwidth correction factor </a:t>
            </a:r>
          </a:p>
          <a:p>
            <a:pPr algn="l" rtl="0">
              <a:lnSpc>
                <a:spcPts val="1400"/>
              </a:lnSpc>
              <a:defRPr sz="1000"/>
            </a:pPr>
            <a:endParaRPr lang="en-US" sz="14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539285" name="Line 32914">
            <a:extLst>
              <a:ext uri="{FF2B5EF4-FFF2-40B4-BE49-F238E27FC236}">
                <a16:creationId xmlns:a16="http://schemas.microsoft.com/office/drawing/2014/main" id="{0F3127D7-DF0E-DC69-1016-AE4ECF8BA779}"/>
              </a:ext>
            </a:extLst>
          </xdr:cNvPr>
          <xdr:cNvSpPr>
            <a:spLocks noChangeShapeType="1"/>
          </xdr:cNvSpPr>
        </xdr:nvSpPr>
        <xdr:spPr bwMode="auto">
          <a:xfrm>
            <a:off x="4512" y="912"/>
            <a:ext cx="336" cy="2124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38771" name="Text Box 32915">
            <a:extLst>
              <a:ext uri="{FF2B5EF4-FFF2-40B4-BE49-F238E27FC236}">
                <a16:creationId xmlns:a16="http://schemas.microsoft.com/office/drawing/2014/main" id="{3F2A242C-6014-719C-906B-CB13C8B54BD3}"/>
              </a:ext>
            </a:extLst>
          </xdr:cNvPr>
          <xdr:cNvSpPr txBox="1">
            <a:spLocks noChangeArrowheads="1"/>
          </xdr:cNvSpPr>
        </xdr:nvSpPr>
        <xdr:spPr bwMode="auto">
          <a:xfrm>
            <a:off x="2643" y="3184"/>
            <a:ext cx="1429" cy="19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lnSpc>
                <a:spcPts val="1400"/>
              </a:lnSpc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Atmospheric Absorption</a:t>
            </a:r>
          </a:p>
          <a:p>
            <a:pPr algn="l" rtl="0">
              <a:lnSpc>
                <a:spcPts val="1400"/>
              </a:lnSpc>
              <a:defRPr sz="1000"/>
            </a:pPr>
            <a:endParaRPr lang="en-US" sz="14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539287" name="Line 32916">
            <a:extLst>
              <a:ext uri="{FF2B5EF4-FFF2-40B4-BE49-F238E27FC236}">
                <a16:creationId xmlns:a16="http://schemas.microsoft.com/office/drawing/2014/main" id="{B881FBBE-BA44-C162-3E1C-817237C40B16}"/>
              </a:ext>
            </a:extLst>
          </xdr:cNvPr>
          <xdr:cNvSpPr>
            <a:spLocks noChangeShapeType="1"/>
          </xdr:cNvSpPr>
        </xdr:nvSpPr>
        <xdr:spPr bwMode="auto">
          <a:xfrm flipV="1">
            <a:off x="3942" y="3216"/>
            <a:ext cx="562" cy="48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38773" name="Text Box 32917">
            <a:extLst>
              <a:ext uri="{FF2B5EF4-FFF2-40B4-BE49-F238E27FC236}">
                <a16:creationId xmlns:a16="http://schemas.microsoft.com/office/drawing/2014/main" id="{403CC605-73F5-35A4-B82E-BEF54EE217EB}"/>
              </a:ext>
            </a:extLst>
          </xdr:cNvPr>
          <xdr:cNvSpPr txBox="1">
            <a:spLocks noChangeArrowheads="1"/>
          </xdr:cNvSpPr>
        </xdr:nvSpPr>
        <xdr:spPr bwMode="auto">
          <a:xfrm>
            <a:off x="3043" y="1323"/>
            <a:ext cx="918" cy="33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Background Noise</a:t>
            </a:r>
          </a:p>
          <a:p>
            <a:pPr algn="l" rtl="0">
              <a:defRPr sz="1000"/>
            </a:pPr>
            <a:endParaRPr lang="en-US" sz="14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539289" name="Line 32918">
            <a:extLst>
              <a:ext uri="{FF2B5EF4-FFF2-40B4-BE49-F238E27FC236}">
                <a16:creationId xmlns:a16="http://schemas.microsoft.com/office/drawing/2014/main" id="{86C61A82-9C14-05D7-D7C3-F1D6183D265B}"/>
              </a:ext>
            </a:extLst>
          </xdr:cNvPr>
          <xdr:cNvSpPr>
            <a:spLocks noChangeShapeType="1"/>
          </xdr:cNvSpPr>
        </xdr:nvSpPr>
        <xdr:spPr bwMode="auto">
          <a:xfrm flipH="1">
            <a:off x="3270" y="1614"/>
            <a:ext cx="204" cy="804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38775" name="Text Box 32919">
            <a:extLst>
              <a:ext uri="{FF2B5EF4-FFF2-40B4-BE49-F238E27FC236}">
                <a16:creationId xmlns:a16="http://schemas.microsoft.com/office/drawing/2014/main" id="{512D302E-E3EF-0948-4743-F9263C1B6A40}"/>
              </a:ext>
            </a:extLst>
          </xdr:cNvPr>
          <xdr:cNvSpPr txBox="1">
            <a:spLocks noChangeArrowheads="1"/>
          </xdr:cNvSpPr>
        </xdr:nvSpPr>
        <xdr:spPr bwMode="auto">
          <a:xfrm>
            <a:off x="2484" y="3022"/>
            <a:ext cx="1141" cy="19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lnSpc>
                <a:spcPts val="1400"/>
              </a:lnSpc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Hearing Threshold</a:t>
            </a:r>
          </a:p>
          <a:p>
            <a:pPr algn="l" rtl="0">
              <a:lnSpc>
                <a:spcPts val="1400"/>
              </a:lnSpc>
              <a:defRPr sz="1000"/>
            </a:pPr>
            <a:endParaRPr lang="en-US" sz="14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539291" name="Line 32920">
            <a:extLst>
              <a:ext uri="{FF2B5EF4-FFF2-40B4-BE49-F238E27FC236}">
                <a16:creationId xmlns:a16="http://schemas.microsoft.com/office/drawing/2014/main" id="{B19A2C53-78F8-FD06-E73C-C3B9C1356662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544" y="2844"/>
            <a:ext cx="336" cy="18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38777" name="Text Box 32921">
            <a:extLst>
              <a:ext uri="{FF2B5EF4-FFF2-40B4-BE49-F238E27FC236}">
                <a16:creationId xmlns:a16="http://schemas.microsoft.com/office/drawing/2014/main" id="{B293C1AC-1ECA-B9C0-EAA4-D547C93CC7D5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54" y="2610"/>
            <a:ext cx="947" cy="32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Detected Signal in Critical Bands</a:t>
            </a:r>
          </a:p>
          <a:p>
            <a:pPr algn="l" rtl="0">
              <a:lnSpc>
                <a:spcPts val="1400"/>
              </a:lnSpc>
              <a:defRPr sz="1000"/>
            </a:pPr>
            <a:endParaRPr lang="en-US" sz="14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539293" name="Line 32922">
            <a:extLst>
              <a:ext uri="{FF2B5EF4-FFF2-40B4-BE49-F238E27FC236}">
                <a16:creationId xmlns:a16="http://schemas.microsoft.com/office/drawing/2014/main" id="{686A2848-CA1A-6532-A852-3BCEC1F74EC1}"/>
              </a:ext>
            </a:extLst>
          </xdr:cNvPr>
          <xdr:cNvSpPr>
            <a:spLocks noChangeShapeType="1"/>
          </xdr:cNvSpPr>
        </xdr:nvSpPr>
        <xdr:spPr bwMode="auto">
          <a:xfrm flipV="1">
            <a:off x="1914" y="2562"/>
            <a:ext cx="239" cy="186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39294" name="Line 32923">
            <a:extLst>
              <a:ext uri="{FF2B5EF4-FFF2-40B4-BE49-F238E27FC236}">
                <a16:creationId xmlns:a16="http://schemas.microsoft.com/office/drawing/2014/main" id="{24ABE4F8-D62D-0F3D-4FB8-B29FC8958B90}"/>
              </a:ext>
            </a:extLst>
          </xdr:cNvPr>
          <xdr:cNvSpPr>
            <a:spLocks noChangeShapeType="1"/>
          </xdr:cNvSpPr>
        </xdr:nvSpPr>
        <xdr:spPr bwMode="auto">
          <a:xfrm flipV="1">
            <a:off x="2016" y="2784"/>
            <a:ext cx="144" cy="24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38780" name="Text Box 32924">
            <a:extLst>
              <a:ext uri="{FF2B5EF4-FFF2-40B4-BE49-F238E27FC236}">
                <a16:creationId xmlns:a16="http://schemas.microsoft.com/office/drawing/2014/main" id="{014DFED3-2F3B-A514-93A0-A7ABBD835F73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66" y="3022"/>
            <a:ext cx="1094" cy="33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4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Detected Signal in 1/3-octave Bands</a:t>
            </a:r>
          </a:p>
          <a:p>
            <a:pPr algn="l" rtl="0">
              <a:lnSpc>
                <a:spcPts val="1400"/>
              </a:lnSpc>
              <a:defRPr sz="1000"/>
            </a:pPr>
            <a:endParaRPr lang="en-US" sz="14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</xdr:grpSp>
    <xdr:clientData/>
  </xdr:twoCellAnchor>
  <xdr:twoCellAnchor editAs="oneCell">
    <xdr:from>
      <xdr:col>0</xdr:col>
      <xdr:colOff>57150</xdr:colOff>
      <xdr:row>54</xdr:row>
      <xdr:rowOff>0</xdr:rowOff>
    </xdr:from>
    <xdr:to>
      <xdr:col>10</xdr:col>
      <xdr:colOff>57150</xdr:colOff>
      <xdr:row>101</xdr:row>
      <xdr:rowOff>28575</xdr:rowOff>
    </xdr:to>
    <xdr:pic>
      <xdr:nvPicPr>
        <xdr:cNvPr id="539273" name="Picture 32934">
          <a:extLst>
            <a:ext uri="{FF2B5EF4-FFF2-40B4-BE49-F238E27FC236}">
              <a16:creationId xmlns:a16="http://schemas.microsoft.com/office/drawing/2014/main" id="{93D6FA19-4245-2C44-4C8A-BECA464295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9134475"/>
          <a:ext cx="6096000" cy="763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101</xdr:row>
      <xdr:rowOff>0</xdr:rowOff>
    </xdr:from>
    <xdr:to>
      <xdr:col>10</xdr:col>
      <xdr:colOff>0</xdr:colOff>
      <xdr:row>141</xdr:row>
      <xdr:rowOff>152400</xdr:rowOff>
    </xdr:to>
    <xdr:pic>
      <xdr:nvPicPr>
        <xdr:cNvPr id="539274" name="Picture 32935">
          <a:extLst>
            <a:ext uri="{FF2B5EF4-FFF2-40B4-BE49-F238E27FC236}">
              <a16:creationId xmlns:a16="http://schemas.microsoft.com/office/drawing/2014/main" id="{B42DD5E0-93A2-B559-CFAF-4CA40AB528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744950"/>
          <a:ext cx="6096000" cy="6629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9525</xdr:rowOff>
    </xdr:from>
    <xdr:to>
      <xdr:col>10</xdr:col>
      <xdr:colOff>476250</xdr:colOff>
      <xdr:row>32</xdr:row>
      <xdr:rowOff>0</xdr:rowOff>
    </xdr:to>
    <xdr:graphicFrame macro="">
      <xdr:nvGraphicFramePr>
        <xdr:cNvPr id="15382" name="Chart 3073">
          <a:extLst>
            <a:ext uri="{FF2B5EF4-FFF2-40B4-BE49-F238E27FC236}">
              <a16:creationId xmlns:a16="http://schemas.microsoft.com/office/drawing/2014/main" id="{608EE6A2-74A5-E3BC-61B8-0ED9FC1DD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572500" cy="58293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C5284C-7CE2-49FE-90F0-3CD42900499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D69"/>
  <sheetViews>
    <sheetView topLeftCell="A6" zoomScaleNormal="100" workbookViewId="0">
      <selection activeCell="AB2" sqref="AB2"/>
    </sheetView>
  </sheetViews>
  <sheetFormatPr defaultRowHeight="12.75" x14ac:dyDescent="0.2"/>
  <cols>
    <col min="1" max="1" width="7.5703125" style="3" customWidth="1"/>
    <col min="2" max="2" width="7.85546875" customWidth="1"/>
    <col min="3" max="3" width="6.5703125" customWidth="1"/>
    <col min="4" max="4" width="6.7109375" customWidth="1"/>
    <col min="5" max="5" width="7" customWidth="1"/>
    <col min="6" max="8" width="7.140625" customWidth="1"/>
    <col min="9" max="9" width="6.7109375" customWidth="1"/>
    <col min="10" max="10" width="6.28515625" customWidth="1"/>
    <col min="11" max="11" width="8" customWidth="1"/>
    <col min="12" max="12" width="7.7109375" customWidth="1"/>
    <col min="13" max="13" width="7.85546875" customWidth="1"/>
    <col min="14" max="14" width="11" customWidth="1"/>
    <col min="15" max="15" width="7.85546875" customWidth="1"/>
    <col min="16" max="16" width="8.140625" customWidth="1"/>
    <col min="17" max="17" width="7" customWidth="1"/>
    <col min="18" max="18" width="9" customWidth="1"/>
    <col min="19" max="19" width="9.5703125" customWidth="1"/>
    <col min="20" max="20" width="7.42578125" customWidth="1"/>
    <col min="21" max="21" width="7.5703125" customWidth="1"/>
    <col min="22" max="22" width="8.140625" customWidth="1"/>
    <col min="23" max="23" width="7.42578125" customWidth="1"/>
    <col min="24" max="24" width="5.28515625" customWidth="1"/>
    <col min="25" max="25" width="6.85546875" customWidth="1"/>
  </cols>
  <sheetData>
    <row r="1" spans="1:121" ht="28.5" customHeight="1" thickTop="1" thickBot="1" x14ac:dyDescent="0.25">
      <c r="A1" s="216" t="s">
        <v>25</v>
      </c>
      <c r="B1" s="217"/>
      <c r="C1" s="22"/>
      <c r="D1" s="22"/>
      <c r="E1" s="22"/>
      <c r="F1" s="22"/>
      <c r="G1" s="43"/>
      <c r="H1" s="218" t="s">
        <v>28</v>
      </c>
      <c r="I1" s="219"/>
      <c r="J1" s="17"/>
      <c r="K1" s="17"/>
      <c r="L1" s="17"/>
      <c r="M1" s="17"/>
      <c r="N1" s="33"/>
      <c r="O1" s="17"/>
      <c r="P1" s="17"/>
      <c r="Q1" s="17"/>
      <c r="R1" s="220" t="s">
        <v>71</v>
      </c>
      <c r="S1" s="221"/>
      <c r="T1" s="17"/>
      <c r="U1" s="17"/>
      <c r="V1" s="19"/>
      <c r="W1" s="2"/>
    </row>
    <row r="2" spans="1:121" ht="51.75" thickTop="1" x14ac:dyDescent="0.2">
      <c r="A2" s="20" t="s">
        <v>66</v>
      </c>
      <c r="B2" s="10" t="s">
        <v>67</v>
      </c>
      <c r="C2" s="11" t="s">
        <v>68</v>
      </c>
      <c r="D2" s="11" t="s">
        <v>0</v>
      </c>
      <c r="E2" s="11" t="s">
        <v>70</v>
      </c>
      <c r="F2" s="11" t="s">
        <v>26</v>
      </c>
      <c r="G2" s="44" t="s">
        <v>27</v>
      </c>
      <c r="H2" s="23" t="s">
        <v>66</v>
      </c>
      <c r="I2" s="10" t="s">
        <v>69</v>
      </c>
      <c r="J2" s="10" t="s">
        <v>0</v>
      </c>
      <c r="K2" s="10" t="s">
        <v>45</v>
      </c>
      <c r="L2" s="10" t="s">
        <v>26</v>
      </c>
      <c r="M2" s="10" t="s">
        <v>27</v>
      </c>
      <c r="N2" s="16" t="s">
        <v>75</v>
      </c>
      <c r="O2" s="16" t="s">
        <v>64</v>
      </c>
      <c r="P2" s="16" t="s">
        <v>63</v>
      </c>
      <c r="Q2" s="16" t="s">
        <v>58</v>
      </c>
      <c r="R2" s="20" t="s">
        <v>51</v>
      </c>
      <c r="S2" s="16" t="s">
        <v>52</v>
      </c>
      <c r="T2" s="16" t="s">
        <v>53</v>
      </c>
      <c r="U2" s="16" t="s">
        <v>54</v>
      </c>
      <c r="V2" s="21" t="s">
        <v>59</v>
      </c>
      <c r="W2" s="2"/>
    </row>
    <row r="3" spans="1:121" ht="13.5" thickBot="1" x14ac:dyDescent="0.25">
      <c r="A3" s="45">
        <v>1.2</v>
      </c>
      <c r="B3" s="18">
        <v>1.2</v>
      </c>
      <c r="C3" s="107">
        <v>250</v>
      </c>
      <c r="D3" s="18">
        <v>15</v>
      </c>
      <c r="E3" s="18">
        <v>70</v>
      </c>
      <c r="F3" s="18">
        <v>200</v>
      </c>
      <c r="G3" s="46">
        <v>5.9999999999999997E-7</v>
      </c>
      <c r="H3" s="30">
        <v>1.2</v>
      </c>
      <c r="I3" s="4">
        <v>1.2</v>
      </c>
      <c r="J3" s="4">
        <v>15</v>
      </c>
      <c r="K3" s="4">
        <v>70</v>
      </c>
      <c r="L3" s="4">
        <v>200</v>
      </c>
      <c r="M3" s="31">
        <v>5.9999999999999997E-7</v>
      </c>
      <c r="N3" s="32">
        <v>0</v>
      </c>
      <c r="O3" s="32" t="s">
        <v>57</v>
      </c>
      <c r="P3" s="4">
        <v>0</v>
      </c>
      <c r="Q3" s="32">
        <v>14</v>
      </c>
      <c r="R3" s="55">
        <v>0.4</v>
      </c>
      <c r="S3" s="56">
        <v>0.5</v>
      </c>
      <c r="T3" s="56">
        <v>0.01</v>
      </c>
      <c r="U3" s="51">
        <v>2.3276466958111275</v>
      </c>
      <c r="V3" s="37">
        <v>0</v>
      </c>
      <c r="W3" s="4" t="s">
        <v>62</v>
      </c>
    </row>
    <row r="4" spans="1:121" ht="42.75" customHeight="1" thickTop="1" x14ac:dyDescent="0.2">
      <c r="A4" s="38" t="s">
        <v>72</v>
      </c>
      <c r="B4" s="39"/>
      <c r="C4" s="48">
        <v>30</v>
      </c>
      <c r="D4" s="40" t="s">
        <v>60</v>
      </c>
      <c r="E4" s="41"/>
      <c r="F4" s="42"/>
      <c r="G4" s="49">
        <v>55</v>
      </c>
      <c r="H4" s="23" t="s">
        <v>56</v>
      </c>
      <c r="I4" s="10" t="s">
        <v>38</v>
      </c>
      <c r="J4" s="10" t="s">
        <v>41</v>
      </c>
      <c r="K4" s="10" t="s">
        <v>55</v>
      </c>
      <c r="L4" s="10" t="s">
        <v>39</v>
      </c>
      <c r="M4" s="10" t="s">
        <v>40</v>
      </c>
      <c r="N4" s="10" t="s">
        <v>42</v>
      </c>
      <c r="O4" s="10" t="s">
        <v>43</v>
      </c>
      <c r="P4" s="2"/>
      <c r="Q4" s="2"/>
      <c r="R4" s="59" t="s">
        <v>81</v>
      </c>
      <c r="S4" s="2"/>
      <c r="T4" s="2"/>
      <c r="U4" s="2"/>
      <c r="V4" s="34"/>
      <c r="W4" s="2"/>
    </row>
    <row r="5" spans="1:121" ht="13.5" thickBot="1" x14ac:dyDescent="0.25">
      <c r="A5" s="25"/>
      <c r="B5" s="26"/>
      <c r="C5" s="47"/>
      <c r="D5" s="27"/>
      <c r="E5" s="28"/>
      <c r="F5" s="29"/>
      <c r="G5" s="50" t="s">
        <v>62</v>
      </c>
      <c r="H5" s="24">
        <v>0</v>
      </c>
      <c r="I5" s="18">
        <v>1</v>
      </c>
      <c r="J5" s="18">
        <v>2</v>
      </c>
      <c r="K5" s="18">
        <v>0</v>
      </c>
      <c r="L5" s="18">
        <v>1</v>
      </c>
      <c r="M5" s="18">
        <v>100</v>
      </c>
      <c r="N5" s="18">
        <v>0.5</v>
      </c>
      <c r="O5" s="18">
        <v>3.2</v>
      </c>
      <c r="P5" s="35"/>
      <c r="Q5" s="35"/>
      <c r="R5" s="24">
        <v>0</v>
      </c>
      <c r="S5" s="35"/>
      <c r="T5" s="35"/>
      <c r="U5" s="35"/>
      <c r="V5" s="36"/>
      <c r="W5" s="2"/>
    </row>
    <row r="6" spans="1:121" s="1" customFormat="1" ht="13.5" thickTop="1" x14ac:dyDescent="0.2">
      <c r="A6" s="60" t="s">
        <v>80</v>
      </c>
      <c r="B6" s="61">
        <v>1</v>
      </c>
      <c r="C6" s="61">
        <v>12</v>
      </c>
      <c r="D6" s="61">
        <v>22</v>
      </c>
      <c r="E6" s="62" t="s">
        <v>79</v>
      </c>
      <c r="F6" s="63"/>
      <c r="L6" s="1" t="s">
        <v>84</v>
      </c>
      <c r="M6" s="1" t="s">
        <v>83</v>
      </c>
      <c r="N6" s="1" t="s">
        <v>82</v>
      </c>
    </row>
    <row r="7" spans="1:121" x14ac:dyDescent="0.2">
      <c r="A7" s="6" t="s">
        <v>1</v>
      </c>
      <c r="B7" s="72" t="s">
        <v>49</v>
      </c>
      <c r="C7" s="6" t="s">
        <v>48</v>
      </c>
      <c r="D7" s="6" t="s">
        <v>50</v>
      </c>
      <c r="E7" s="6" t="s">
        <v>31</v>
      </c>
      <c r="F7" s="6" t="s">
        <v>61</v>
      </c>
      <c r="G7" s="6" t="s">
        <v>65</v>
      </c>
      <c r="H7" s="6" t="s">
        <v>44</v>
      </c>
      <c r="I7" s="6" t="s">
        <v>32</v>
      </c>
      <c r="J7" s="6" t="s">
        <v>33</v>
      </c>
      <c r="K7" s="6" t="s">
        <v>95</v>
      </c>
      <c r="L7" s="6" t="s">
        <v>94</v>
      </c>
      <c r="M7" s="54" t="s">
        <v>73</v>
      </c>
      <c r="N7" s="54" t="s">
        <v>74</v>
      </c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</row>
    <row r="8" spans="1:121" x14ac:dyDescent="0.2">
      <c r="A8" s="67">
        <v>50</v>
      </c>
      <c r="B8" s="64">
        <v>53.599998474121094</v>
      </c>
      <c r="C8" s="65">
        <v>51</v>
      </c>
      <c r="D8" s="7">
        <v>41.700000762939453</v>
      </c>
      <c r="E8" s="7">
        <v>-18.763483047485352</v>
      </c>
      <c r="F8" s="7">
        <v>-0.10134872794151306</v>
      </c>
      <c r="G8" s="7"/>
      <c r="H8" s="7">
        <v>-1.1186099052429199</v>
      </c>
      <c r="I8" s="7">
        <v>-1.0000000474974513E-3</v>
      </c>
      <c r="J8" s="7">
        <v>-1.0000000474974513E-3</v>
      </c>
      <c r="K8" s="66">
        <v>33.614555358886719</v>
      </c>
      <c r="L8" s="7">
        <v>39.503040313720703</v>
      </c>
      <c r="M8" s="7">
        <v>52.559886932373047</v>
      </c>
      <c r="N8" s="13">
        <v>52.559886932373047</v>
      </c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</row>
    <row r="9" spans="1:121" x14ac:dyDescent="0.2">
      <c r="A9" s="67">
        <v>63</v>
      </c>
      <c r="B9" s="64">
        <v>57.299999237060547</v>
      </c>
      <c r="C9" s="65">
        <v>51</v>
      </c>
      <c r="D9" s="7">
        <v>35.599998474121094</v>
      </c>
      <c r="E9" s="7">
        <v>-18.763483047485352</v>
      </c>
      <c r="F9" s="7">
        <v>-0.1597210168838501</v>
      </c>
      <c r="G9" s="7"/>
      <c r="H9" s="7">
        <v>-2.3415305614471436</v>
      </c>
      <c r="I9" s="7">
        <v>-1.0000000474974513E-3</v>
      </c>
      <c r="J9" s="7">
        <v>-1.0000000474974513E-3</v>
      </c>
      <c r="K9" s="66">
        <v>36.03326416015625</v>
      </c>
      <c r="L9" s="7">
        <v>42.031772613525391</v>
      </c>
      <c r="M9" s="7">
        <v>52.961269378662109</v>
      </c>
      <c r="N9" s="13">
        <v>52.961269378662109</v>
      </c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</row>
    <row r="10" spans="1:121" x14ac:dyDescent="0.2">
      <c r="A10" s="67">
        <v>80</v>
      </c>
      <c r="B10" s="64">
        <v>60.900001525878906</v>
      </c>
      <c r="C10" s="65">
        <v>51</v>
      </c>
      <c r="D10" s="7">
        <v>29.799999237060547</v>
      </c>
      <c r="E10" s="7">
        <v>-18.763483047485352</v>
      </c>
      <c r="F10" s="7">
        <v>-0.25446498394012451</v>
      </c>
      <c r="G10" s="7"/>
      <c r="H10" s="7">
        <v>-4.7058267593383789</v>
      </c>
      <c r="I10" s="7">
        <v>-1.0000000474974513E-3</v>
      </c>
      <c r="J10" s="7">
        <v>-1.0000000474974513E-3</v>
      </c>
      <c r="K10" s="66">
        <v>37.174228668212891</v>
      </c>
      <c r="L10" s="7">
        <v>42.326423645019531</v>
      </c>
      <c r="M10" s="7">
        <v>52.984115600585938</v>
      </c>
      <c r="N10" s="13">
        <v>52.984115600585938</v>
      </c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</row>
    <row r="11" spans="1:121" x14ac:dyDescent="0.2">
      <c r="A11" s="67">
        <v>100</v>
      </c>
      <c r="B11" s="64">
        <v>69.800003051757813</v>
      </c>
      <c r="C11" s="65">
        <v>50</v>
      </c>
      <c r="D11" s="7">
        <v>25.100000381469727</v>
      </c>
      <c r="E11" s="7">
        <v>-18.763483047485352</v>
      </c>
      <c r="F11" s="7">
        <v>-0.3906865119934082</v>
      </c>
      <c r="G11" s="7"/>
      <c r="H11" s="7">
        <v>-8.5778083801269531</v>
      </c>
      <c r="I11" s="7">
        <v>-1.0000000474974513E-3</v>
      </c>
      <c r="J11" s="7">
        <v>-1.0000000474974513E-3</v>
      </c>
      <c r="K11" s="66">
        <v>42.066024780273438</v>
      </c>
      <c r="L11" s="7">
        <v>42.991798400878906</v>
      </c>
      <c r="M11" s="7">
        <v>51.494636535644531</v>
      </c>
      <c r="N11" s="13">
        <v>51.494636535644531</v>
      </c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</row>
    <row r="12" spans="1:121" x14ac:dyDescent="0.2">
      <c r="A12" s="67">
        <v>125</v>
      </c>
      <c r="B12" s="64">
        <v>68.199996948242188</v>
      </c>
      <c r="C12" s="65">
        <v>50</v>
      </c>
      <c r="D12" s="7">
        <v>20.799999237060547</v>
      </c>
      <c r="E12" s="7">
        <v>-18.763483047485352</v>
      </c>
      <c r="F12" s="7">
        <v>-0.59434741735458374</v>
      </c>
      <c r="G12" s="7"/>
      <c r="H12" s="7">
        <v>-14.306827545166016</v>
      </c>
      <c r="I12" s="7">
        <v>-1.0000000474974513E-3</v>
      </c>
      <c r="J12" s="7">
        <v>-1.0000000474974513E-3</v>
      </c>
      <c r="K12" s="66">
        <v>34.533340454101563</v>
      </c>
      <c r="L12" s="7">
        <v>39.269039154052734</v>
      </c>
      <c r="M12" s="7">
        <v>50.433837890625</v>
      </c>
      <c r="N12" s="13">
        <v>50.433837890625</v>
      </c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</row>
    <row r="13" spans="1:121" x14ac:dyDescent="0.2">
      <c r="A13" s="67">
        <v>160</v>
      </c>
      <c r="B13" s="64">
        <v>69.599998474121094</v>
      </c>
      <c r="C13" s="65">
        <v>49</v>
      </c>
      <c r="D13" s="7">
        <v>16.799999237060547</v>
      </c>
      <c r="E13" s="7">
        <v>-18.763483047485352</v>
      </c>
      <c r="F13" s="7">
        <v>-0.93049079179763794</v>
      </c>
      <c r="G13" s="7"/>
      <c r="H13" s="7">
        <v>-17.739316940307617</v>
      </c>
      <c r="I13" s="7">
        <v>-1.0000000474974513E-3</v>
      </c>
      <c r="J13" s="7">
        <v>-1.0000000474974513E-3</v>
      </c>
      <c r="K13" s="66">
        <v>32.164710998535156</v>
      </c>
      <c r="L13" s="7">
        <v>34.793666839599609</v>
      </c>
      <c r="M13" s="7">
        <v>49.126838684082031</v>
      </c>
      <c r="N13" s="13">
        <v>49.126838684082031</v>
      </c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</row>
    <row r="14" spans="1:121" x14ac:dyDescent="0.2">
      <c r="A14" s="67">
        <v>200</v>
      </c>
      <c r="B14" s="64">
        <v>59</v>
      </c>
      <c r="C14" s="65">
        <v>48</v>
      </c>
      <c r="D14" s="7">
        <v>13.800000190734863</v>
      </c>
      <c r="E14" s="7">
        <v>-18.763483047485352</v>
      </c>
      <c r="F14" s="7">
        <v>-1.3668990135192871</v>
      </c>
      <c r="G14" s="7"/>
      <c r="H14" s="7">
        <v>-14.1739501953125</v>
      </c>
      <c r="I14" s="7">
        <v>-1.0000000474974513E-3</v>
      </c>
      <c r="J14" s="7">
        <v>-1.0000000474974513E-3</v>
      </c>
      <c r="K14" s="66">
        <v>24.693668365478516</v>
      </c>
      <c r="L14" s="7">
        <v>28.874074935913086</v>
      </c>
      <c r="M14" s="7">
        <v>47.666507720947266</v>
      </c>
      <c r="N14" s="13">
        <v>47.666507720947266</v>
      </c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</row>
    <row r="15" spans="1:121" x14ac:dyDescent="0.2">
      <c r="A15" s="67">
        <v>250</v>
      </c>
      <c r="B15" s="64">
        <v>56.700000762939453</v>
      </c>
      <c r="C15" s="65">
        <v>47</v>
      </c>
      <c r="D15" s="7">
        <v>11.199999809265137</v>
      </c>
      <c r="E15" s="7">
        <v>-18.763483047485352</v>
      </c>
      <c r="F15" s="7">
        <v>-1.9552541971206665</v>
      </c>
      <c r="G15" s="7"/>
      <c r="H15" s="7">
        <v>-6.7097702026367188</v>
      </c>
      <c r="I15" s="7">
        <v>-1.0000000474974513E-3</v>
      </c>
      <c r="J15" s="7">
        <v>-1.0000000474974513E-3</v>
      </c>
      <c r="K15" s="66">
        <v>29.269495010375977</v>
      </c>
      <c r="L15" s="7">
        <v>32.426944732666016</v>
      </c>
      <c r="M15" s="7">
        <v>46.292568206787109</v>
      </c>
      <c r="N15" s="13">
        <v>46.292568206787109</v>
      </c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</row>
    <row r="16" spans="1:121" x14ac:dyDescent="0.2">
      <c r="A16" s="67">
        <v>315</v>
      </c>
      <c r="B16" s="64">
        <v>55.099998474121094</v>
      </c>
      <c r="C16" s="65">
        <v>46</v>
      </c>
      <c r="D16" s="7">
        <v>9</v>
      </c>
      <c r="E16" s="7">
        <v>-18.763483047485352</v>
      </c>
      <c r="F16" s="7">
        <v>-2.7343606948852539</v>
      </c>
      <c r="G16" s="7"/>
      <c r="H16" s="7">
        <v>4.1763067245483398</v>
      </c>
      <c r="I16" s="7">
        <v>-1.0000000474974513E-3</v>
      </c>
      <c r="J16" s="7">
        <v>-1.0000000474974513E-3</v>
      </c>
      <c r="K16" s="66">
        <v>37.776462554931641</v>
      </c>
      <c r="L16" s="7">
        <v>39.171810150146484</v>
      </c>
      <c r="M16" s="7">
        <v>44.831787109375</v>
      </c>
      <c r="N16" s="13">
        <v>44.831787109375</v>
      </c>
      <c r="O16" s="8"/>
      <c r="P16" s="8"/>
      <c r="Q16" s="8"/>
      <c r="R16" s="7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</row>
    <row r="17" spans="1:134" x14ac:dyDescent="0.2">
      <c r="A17" s="67">
        <v>400</v>
      </c>
      <c r="B17" s="64">
        <v>57.400001525878906</v>
      </c>
      <c r="C17" s="65">
        <v>45</v>
      </c>
      <c r="D17" s="7">
        <v>7.1999998092651367</v>
      </c>
      <c r="E17" s="7">
        <v>-18.763483047485352</v>
      </c>
      <c r="F17" s="7">
        <v>-3.7024497985839844</v>
      </c>
      <c r="G17" s="7"/>
      <c r="H17" s="7">
        <v>7.9836206436157227</v>
      </c>
      <c r="I17" s="7">
        <v>-1.0000000474974513E-3</v>
      </c>
      <c r="J17" s="7">
        <v>-1.0000000474974513E-3</v>
      </c>
      <c r="K17" s="66">
        <v>42.915687561035156</v>
      </c>
      <c r="L17" s="7">
        <v>43.278491973876953</v>
      </c>
      <c r="M17" s="7">
        <v>43.280609130859375</v>
      </c>
      <c r="N17" s="13">
        <v>43.280609130859375</v>
      </c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</row>
    <row r="18" spans="1:134" x14ac:dyDescent="0.2">
      <c r="A18" s="67">
        <v>500</v>
      </c>
      <c r="B18" s="64">
        <v>56</v>
      </c>
      <c r="C18" s="65">
        <v>44</v>
      </c>
      <c r="D18" s="7">
        <v>6</v>
      </c>
      <c r="E18" s="7">
        <v>-18.763483047485352</v>
      </c>
      <c r="F18" s="7">
        <v>-4.7186183929443359</v>
      </c>
      <c r="G18" s="7"/>
      <c r="H18" s="7">
        <v>8.4449119567871094</v>
      </c>
      <c r="I18" s="7">
        <v>-1.0000000474974513E-3</v>
      </c>
      <c r="J18" s="7">
        <v>-1.0000000474974513E-3</v>
      </c>
      <c r="K18" s="66">
        <v>40.960807800292969</v>
      </c>
      <c r="L18" s="7">
        <v>41.656787872314453</v>
      </c>
      <c r="M18" s="7">
        <v>41.693862915039063</v>
      </c>
      <c r="N18" s="13">
        <v>41.693862915039063</v>
      </c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</row>
    <row r="19" spans="1:134" x14ac:dyDescent="0.2">
      <c r="A19" s="67">
        <v>630</v>
      </c>
      <c r="B19" s="64">
        <v>54.900001525878906</v>
      </c>
      <c r="C19" s="65">
        <v>42</v>
      </c>
      <c r="D19" s="7">
        <v>5</v>
      </c>
      <c r="E19" s="7">
        <v>-18.763483047485352</v>
      </c>
      <c r="F19" s="7">
        <v>-5.8557229042053223</v>
      </c>
      <c r="G19" s="7"/>
      <c r="H19" s="7">
        <v>8.1225299835205078</v>
      </c>
      <c r="I19" s="7">
        <v>-1.0000000474974513E-3</v>
      </c>
      <c r="J19" s="7">
        <v>-1.0000000474974513E-3</v>
      </c>
      <c r="K19" s="66">
        <v>38.401329040527344</v>
      </c>
      <c r="L19" s="7">
        <v>38.401325225830078</v>
      </c>
      <c r="M19" s="7">
        <v>38.680164337158203</v>
      </c>
      <c r="N19" s="13">
        <v>38.680164337158203</v>
      </c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</row>
    <row r="20" spans="1:134" x14ac:dyDescent="0.2">
      <c r="A20" s="67">
        <v>800</v>
      </c>
      <c r="B20" s="64">
        <v>51</v>
      </c>
      <c r="C20" s="65">
        <v>40</v>
      </c>
      <c r="D20" s="7">
        <v>4.4000000953674316</v>
      </c>
      <c r="E20" s="7">
        <v>-18.763483047485352</v>
      </c>
      <c r="F20" s="7">
        <v>-7.1447806358337402</v>
      </c>
      <c r="G20" s="7"/>
      <c r="H20" s="7">
        <v>7.5203595161437988</v>
      </c>
      <c r="I20" s="7">
        <v>-1.0000000474974513E-3</v>
      </c>
      <c r="J20" s="7">
        <v>-1.0000000474974513E-3</v>
      </c>
      <c r="K20" s="66">
        <v>32.610095977783203</v>
      </c>
      <c r="L20" s="7">
        <v>32.610092163085938</v>
      </c>
      <c r="M20" s="7">
        <v>36.280414581298828</v>
      </c>
      <c r="N20" s="13">
        <v>36.280414581298828</v>
      </c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</row>
    <row r="21" spans="1:134" x14ac:dyDescent="0.2">
      <c r="A21" s="67">
        <v>1000</v>
      </c>
      <c r="B21" s="64">
        <v>48.900001525878906</v>
      </c>
      <c r="C21" s="65">
        <v>38</v>
      </c>
      <c r="D21" s="7">
        <v>4.1999998092651367</v>
      </c>
      <c r="E21" s="7">
        <v>-18.763483047485352</v>
      </c>
      <c r="F21" s="7">
        <v>-8.5563726425170898</v>
      </c>
      <c r="G21" s="7"/>
      <c r="H21" s="7">
        <v>6.8961081504821777</v>
      </c>
      <c r="I21" s="7">
        <v>-1.0000000474974513E-3</v>
      </c>
      <c r="J21" s="7">
        <v>-1.0000000474974513E-3</v>
      </c>
      <c r="K21" s="66">
        <v>28.47425651550293</v>
      </c>
      <c r="L21" s="7">
        <v>28.474254608154297</v>
      </c>
      <c r="M21" s="7">
        <v>33.830421447753906</v>
      </c>
      <c r="N21" s="13">
        <v>33.830421447753906</v>
      </c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</row>
    <row r="22" spans="1:134" x14ac:dyDescent="0.2">
      <c r="A22" s="67">
        <v>1250</v>
      </c>
      <c r="B22" s="64">
        <v>46.700000762939453</v>
      </c>
      <c r="C22" s="65">
        <v>36</v>
      </c>
      <c r="D22" s="7">
        <v>3.7999999523162842</v>
      </c>
      <c r="E22" s="7">
        <v>-18.763483047485352</v>
      </c>
      <c r="F22" s="7">
        <v>-10.366398811340332</v>
      </c>
      <c r="G22" s="7"/>
      <c r="H22" s="7">
        <v>6.2870039939880371</v>
      </c>
      <c r="I22" s="7">
        <v>-1.0000000474974513E-3</v>
      </c>
      <c r="J22" s="7">
        <v>-1.0000000474974513E-3</v>
      </c>
      <c r="K22" s="66">
        <v>23.855123519897461</v>
      </c>
      <c r="L22" s="7">
        <v>23.855121612548828</v>
      </c>
      <c r="M22" s="7">
        <v>31.330307006835938</v>
      </c>
      <c r="N22" s="13">
        <v>31.330307006835938</v>
      </c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</row>
    <row r="23" spans="1:134" x14ac:dyDescent="0.2">
      <c r="A23" s="67">
        <v>1600</v>
      </c>
      <c r="B23" s="64">
        <v>45</v>
      </c>
      <c r="C23" s="65">
        <v>34</v>
      </c>
      <c r="D23" s="7">
        <v>2.5999999046325684</v>
      </c>
      <c r="E23" s="7">
        <v>-18.763483047485352</v>
      </c>
      <c r="F23" s="7">
        <v>-13.218623161315918</v>
      </c>
      <c r="G23" s="7"/>
      <c r="H23" s="7">
        <v>5.6736688613891602</v>
      </c>
      <c r="I23" s="7">
        <v>-1.0000000474974513E-3</v>
      </c>
      <c r="J23" s="7">
        <v>-1.0000000474974513E-3</v>
      </c>
      <c r="K23" s="66">
        <v>18.689563751220703</v>
      </c>
      <c r="L23" s="7">
        <v>18.68956184387207</v>
      </c>
      <c r="M23" s="7">
        <v>28.830513000488281</v>
      </c>
      <c r="N23" s="13">
        <v>28.830513000488281</v>
      </c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</row>
    <row r="24" spans="1:134" x14ac:dyDescent="0.2">
      <c r="A24" s="67">
        <v>2000</v>
      </c>
      <c r="B24" s="64">
        <v>42.900001525878906</v>
      </c>
      <c r="C24" s="65">
        <v>32</v>
      </c>
      <c r="D24" s="7">
        <v>1</v>
      </c>
      <c r="E24" s="7">
        <v>-18.763483047485352</v>
      </c>
      <c r="F24" s="7">
        <v>-17.104558944702148</v>
      </c>
      <c r="G24" s="7"/>
      <c r="H24" s="7">
        <v>5.1702213287353516</v>
      </c>
      <c r="I24" s="7">
        <v>-1.0000000474974513E-3</v>
      </c>
      <c r="J24" s="7">
        <v>-1.0000000474974513E-3</v>
      </c>
      <c r="K24" s="66">
        <v>12.20018196105957</v>
      </c>
      <c r="L24" s="7">
        <v>12.200180053710938</v>
      </c>
      <c r="M24" s="7">
        <v>26.330451965332031</v>
      </c>
      <c r="N24" s="13">
        <v>26.330451965332031</v>
      </c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</row>
    <row r="25" spans="1:134" x14ac:dyDescent="0.2">
      <c r="A25" s="67">
        <v>2500</v>
      </c>
      <c r="B25" s="64">
        <v>40.700000762939453</v>
      </c>
      <c r="C25" s="65">
        <v>29</v>
      </c>
      <c r="D25" s="7">
        <v>-1.2000000476837158</v>
      </c>
      <c r="E25" s="7">
        <v>-18.763483047485352</v>
      </c>
      <c r="F25" s="7">
        <v>-23.019523620605469</v>
      </c>
      <c r="G25" s="7"/>
      <c r="H25" s="7">
        <v>4.658289909362793</v>
      </c>
      <c r="I25" s="7">
        <v>-1.0000000474974513E-3</v>
      </c>
      <c r="J25" s="7">
        <v>-1.0000000474974513E-3</v>
      </c>
      <c r="K25" s="66">
        <v>3.5732879638671875</v>
      </c>
      <c r="L25" s="7">
        <v>3.5732841491699219</v>
      </c>
      <c r="M25" s="7">
        <v>22.83038330078125</v>
      </c>
      <c r="N25" s="13">
        <v>22.83038330078125</v>
      </c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</row>
    <row r="26" spans="1:134" x14ac:dyDescent="0.2">
      <c r="A26" s="67">
        <v>3150</v>
      </c>
      <c r="B26" s="64">
        <v>37.900001525878906</v>
      </c>
      <c r="C26" s="65">
        <v>26</v>
      </c>
      <c r="D26" s="7">
        <v>-3.5</v>
      </c>
      <c r="E26" s="7">
        <v>-18.763483047485352</v>
      </c>
      <c r="F26" s="7">
        <v>-32.541271209716797</v>
      </c>
      <c r="G26" s="7"/>
      <c r="H26" s="7">
        <v>4.0543918609619141</v>
      </c>
      <c r="I26" s="7">
        <v>-1.0000000474974513E-3</v>
      </c>
      <c r="J26" s="7">
        <v>-1.0000000474974513E-3</v>
      </c>
      <c r="K26" s="66">
        <v>-9.3523635864257813</v>
      </c>
      <c r="L26" s="7">
        <v>-9.3523635864257813</v>
      </c>
      <c r="M26" s="7">
        <v>19.33043098449707</v>
      </c>
      <c r="N26" s="13">
        <v>19.33043098449707</v>
      </c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</row>
    <row r="27" spans="1:134" x14ac:dyDescent="0.2">
      <c r="A27" s="67">
        <v>4000</v>
      </c>
      <c r="B27" s="64">
        <v>35.900001525878906</v>
      </c>
      <c r="C27" s="65">
        <v>23</v>
      </c>
      <c r="D27" s="7">
        <v>-3.9000000953674316</v>
      </c>
      <c r="E27" s="7">
        <v>-18.763483047485352</v>
      </c>
      <c r="F27" s="7">
        <v>-48.146492004394531</v>
      </c>
      <c r="G27" s="7"/>
      <c r="H27" s="7">
        <v>3.3053019046783447</v>
      </c>
      <c r="I27" s="7">
        <v>-1.0000000474974513E-3</v>
      </c>
      <c r="J27" s="7">
        <v>-1.0000000474974513E-3</v>
      </c>
      <c r="K27" s="66">
        <v>-27.706668853759766</v>
      </c>
      <c r="L27" s="7">
        <v>-27.706674575805664</v>
      </c>
      <c r="M27" s="7">
        <v>15.830419540405273</v>
      </c>
      <c r="N27" s="13">
        <v>15.830419540405273</v>
      </c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</row>
    <row r="28" spans="1:134" s="5" customFormat="1" x14ac:dyDescent="0.2">
      <c r="A28" s="67">
        <v>5000</v>
      </c>
      <c r="B28" s="64">
        <v>33.900001525878906</v>
      </c>
      <c r="C28" s="65">
        <v>20</v>
      </c>
      <c r="D28" s="7">
        <v>-1.1000000238418579</v>
      </c>
      <c r="E28" s="7">
        <v>-18.763483047485352</v>
      </c>
      <c r="F28" s="7">
        <v>-71.034027099609375</v>
      </c>
      <c r="G28" s="7"/>
      <c r="H28" s="7">
        <v>2.5194249153137207</v>
      </c>
      <c r="I28" s="7">
        <v>-1.0000000474974513E-3</v>
      </c>
      <c r="J28" s="7">
        <v>-1.0000000474974513E-3</v>
      </c>
      <c r="K28" s="66">
        <v>-53.380081176757813</v>
      </c>
      <c r="L28" s="7">
        <v>-53.380081176757813</v>
      </c>
      <c r="M28" s="7">
        <v>12.330461502075195</v>
      </c>
      <c r="N28" s="13">
        <v>12.330461502075195</v>
      </c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</row>
    <row r="29" spans="1:134" s="5" customFormat="1" x14ac:dyDescent="0.2">
      <c r="A29" s="67">
        <v>6300</v>
      </c>
      <c r="B29" s="64">
        <v>32.700000762939453</v>
      </c>
      <c r="C29" s="65">
        <v>16</v>
      </c>
      <c r="D29" s="7">
        <v>6.5</v>
      </c>
      <c r="E29" s="7">
        <v>-18.763483047485352</v>
      </c>
      <c r="F29" s="7">
        <v>-107.91237640380859</v>
      </c>
      <c r="G29" s="7"/>
      <c r="H29" s="7">
        <v>1.7668952941894531</v>
      </c>
      <c r="I29" s="7">
        <v>-1.0000000474974513E-3</v>
      </c>
      <c r="J29" s="7">
        <v>-1.0000000474974513E-3</v>
      </c>
      <c r="K29" s="66">
        <v>-92.210968017578125</v>
      </c>
      <c r="L29" s="7">
        <v>-92.210968017578125</v>
      </c>
      <c r="M29" s="7">
        <v>7.8304386138916016</v>
      </c>
      <c r="N29" s="13">
        <v>7.8304386138916016</v>
      </c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</row>
    <row r="30" spans="1:134" s="5" customFormat="1" x14ac:dyDescent="0.2">
      <c r="A30" s="67">
        <v>8000</v>
      </c>
      <c r="B30" s="64">
        <v>31</v>
      </c>
      <c r="C30" s="65">
        <v>11</v>
      </c>
      <c r="D30" s="7">
        <v>15.300000190734863</v>
      </c>
      <c r="E30" s="7">
        <v>-18.763483047485352</v>
      </c>
      <c r="F30" s="7">
        <v>-167.7259521484375</v>
      </c>
      <c r="G30" s="7"/>
      <c r="H30" s="7">
        <v>1.3473854064941406</v>
      </c>
      <c r="I30" s="7">
        <v>-1.0000000474974513E-3</v>
      </c>
      <c r="J30" s="7">
        <v>-1.0000000474974513E-3</v>
      </c>
      <c r="K30" s="66">
        <v>-154.14407348632813</v>
      </c>
      <c r="L30" s="7">
        <v>-154.14404296875</v>
      </c>
      <c r="M30" s="7">
        <v>2.3303799629211426</v>
      </c>
      <c r="N30" s="13">
        <v>15.300000190734863</v>
      </c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</row>
    <row r="31" spans="1:134" x14ac:dyDescent="0.2">
      <c r="A31" s="68">
        <v>10000</v>
      </c>
      <c r="B31" s="69">
        <v>29.399999618530273</v>
      </c>
      <c r="C31" s="70">
        <v>11</v>
      </c>
      <c r="D31" s="14">
        <v>16.399999618530273</v>
      </c>
      <c r="E31" s="14">
        <v>-18.763483047485352</v>
      </c>
      <c r="F31" s="14">
        <v>-253.66732788085938</v>
      </c>
      <c r="G31" s="14"/>
      <c r="H31" s="14">
        <v>1.4314851760864258</v>
      </c>
      <c r="I31" s="14">
        <v>-1.0000000474974513E-3</v>
      </c>
      <c r="J31" s="14">
        <v>-1.0000000474974513E-3</v>
      </c>
      <c r="K31" s="71">
        <v>-241.60134887695313</v>
      </c>
      <c r="L31" s="14">
        <v>-241.601318359375</v>
      </c>
      <c r="M31" s="14">
        <v>1.830371618270874</v>
      </c>
      <c r="N31" s="15">
        <v>16.399999618530273</v>
      </c>
      <c r="P31" s="5"/>
      <c r="R31" s="5"/>
      <c r="T31" s="5"/>
      <c r="V31" s="5"/>
      <c r="X31" s="5"/>
      <c r="Z31" s="5"/>
      <c r="AB31" s="5"/>
      <c r="AD31" s="5"/>
      <c r="AF31" s="5"/>
      <c r="AH31" s="5"/>
      <c r="AJ31" s="5"/>
      <c r="AL31" s="5"/>
      <c r="AN31" s="5"/>
      <c r="AP31" s="5"/>
      <c r="AR31" s="5"/>
      <c r="AT31" s="5"/>
      <c r="AV31" s="5"/>
      <c r="AX31" s="5"/>
      <c r="AZ31" s="5"/>
      <c r="BB31" s="5"/>
      <c r="BD31" s="5"/>
      <c r="BF31" s="5"/>
      <c r="BH31" s="5"/>
      <c r="BJ31" s="5"/>
      <c r="BL31" s="5"/>
      <c r="BN31" s="5"/>
      <c r="BP31" s="5"/>
      <c r="BR31" s="5"/>
      <c r="BT31" s="5"/>
      <c r="BV31" s="5"/>
      <c r="BX31" s="5"/>
      <c r="BZ31" s="5"/>
      <c r="CB31" s="5"/>
      <c r="CD31" s="5"/>
      <c r="CF31" s="5"/>
      <c r="CH31" s="5"/>
      <c r="CJ31" s="5"/>
      <c r="CL31" s="5"/>
      <c r="CN31" s="5"/>
      <c r="CP31" s="5"/>
      <c r="CR31" s="5"/>
      <c r="CT31" s="5"/>
      <c r="CV31" s="5"/>
      <c r="CX31" s="5"/>
      <c r="CZ31" s="5"/>
      <c r="DB31" s="5"/>
      <c r="DD31" s="5"/>
      <c r="DF31" s="5"/>
      <c r="DH31" s="5"/>
      <c r="DJ31" s="5"/>
      <c r="DL31" s="5"/>
      <c r="DN31" s="5"/>
      <c r="DP31" s="5"/>
      <c r="DR31" s="5"/>
      <c r="DT31" s="5"/>
      <c r="DV31" s="5"/>
      <c r="DX31" s="5"/>
      <c r="DZ31" s="5"/>
      <c r="EB31" s="5"/>
      <c r="ED31" s="5"/>
    </row>
    <row r="32" spans="1:134" s="1" customFormat="1" x14ac:dyDescent="0.2">
      <c r="A32" s="108" t="s">
        <v>76</v>
      </c>
      <c r="B32" s="209"/>
      <c r="C32" s="209"/>
      <c r="D32" s="209"/>
      <c r="E32" s="52">
        <v>62.577982094717697</v>
      </c>
      <c r="F32" s="57"/>
      <c r="G32" s="210"/>
      <c r="H32" s="211"/>
      <c r="I32" s="211"/>
      <c r="J32" s="211"/>
      <c r="K32" s="52"/>
      <c r="L32" s="9"/>
    </row>
    <row r="33" spans="1:19" x14ac:dyDescent="0.2">
      <c r="A33" s="108" t="s">
        <v>184</v>
      </c>
      <c r="B33" s="209"/>
      <c r="C33" s="209"/>
      <c r="D33" s="209"/>
      <c r="E33" s="52">
        <v>2168.27392578125</v>
      </c>
      <c r="F33" s="57"/>
      <c r="G33" s="210"/>
      <c r="H33" s="211"/>
      <c r="I33" s="211"/>
      <c r="J33" s="211"/>
      <c r="K33" s="52"/>
      <c r="L33" s="8"/>
    </row>
    <row r="34" spans="1:19" x14ac:dyDescent="0.2">
      <c r="A34" s="109" t="s">
        <v>185</v>
      </c>
      <c r="B34" s="209"/>
      <c r="C34" s="209"/>
      <c r="D34" s="209"/>
      <c r="E34" s="52">
        <v>400</v>
      </c>
      <c r="F34" s="57"/>
      <c r="G34" s="210"/>
      <c r="H34" s="211"/>
      <c r="I34" s="211"/>
      <c r="J34" s="211"/>
      <c r="K34" s="52"/>
    </row>
    <row r="35" spans="1:19" x14ac:dyDescent="0.2">
      <c r="A35" s="109" t="s">
        <v>186</v>
      </c>
      <c r="B35" s="209"/>
      <c r="C35" s="209"/>
      <c r="D35" s="209"/>
      <c r="E35" s="52">
        <v>42.915687561035156</v>
      </c>
      <c r="F35" s="57"/>
      <c r="G35" s="210"/>
      <c r="H35" s="211"/>
      <c r="I35" s="211"/>
      <c r="J35" s="211"/>
      <c r="K35" s="52"/>
    </row>
    <row r="36" spans="1:19" x14ac:dyDescent="0.2">
      <c r="A36" s="108" t="s">
        <v>77</v>
      </c>
      <c r="B36" s="209"/>
      <c r="C36" s="209"/>
      <c r="D36" s="209"/>
      <c r="E36" s="52">
        <v>43.29766995739422</v>
      </c>
      <c r="F36" s="57"/>
      <c r="G36" s="210"/>
      <c r="H36" s="211"/>
      <c r="I36" s="211"/>
      <c r="J36" s="211"/>
      <c r="K36" s="52"/>
      <c r="M36" s="2"/>
    </row>
    <row r="37" spans="1:19" x14ac:dyDescent="0.2">
      <c r="A37" s="27" t="s">
        <v>78</v>
      </c>
      <c r="B37" s="212"/>
      <c r="C37" s="212"/>
      <c r="D37" s="212"/>
      <c r="E37" s="53">
        <v>49.448926323298913</v>
      </c>
      <c r="F37" s="58"/>
      <c r="G37" s="213"/>
      <c r="H37" s="214"/>
      <c r="I37" s="214"/>
      <c r="J37" s="214"/>
      <c r="K37" s="53"/>
      <c r="Q37" t="s">
        <v>62</v>
      </c>
    </row>
    <row r="38" spans="1:19" x14ac:dyDescent="0.2">
      <c r="M38" s="2"/>
    </row>
    <row r="39" spans="1:19" x14ac:dyDescent="0.2">
      <c r="K39" s="2"/>
      <c r="M39" s="2"/>
      <c r="R39" s="2"/>
    </row>
    <row r="41" spans="1:19" x14ac:dyDescent="0.2">
      <c r="O41" s="2"/>
    </row>
    <row r="42" spans="1:19" x14ac:dyDescent="0.2"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</row>
    <row r="43" spans="1:19" x14ac:dyDescent="0.2"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</row>
    <row r="44" spans="1:19" x14ac:dyDescent="0.2"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</row>
    <row r="46" spans="1:19" x14ac:dyDescent="0.2">
      <c r="A46" s="3" t="s">
        <v>29</v>
      </c>
      <c r="B46" s="7">
        <v>-10</v>
      </c>
      <c r="C46" s="1"/>
    </row>
    <row r="47" spans="1:19" x14ac:dyDescent="0.2">
      <c r="A47" s="3" t="s">
        <v>30</v>
      </c>
      <c r="B47" s="7">
        <v>-10</v>
      </c>
      <c r="C47" s="1">
        <v>63</v>
      </c>
    </row>
    <row r="48" spans="1:19" x14ac:dyDescent="0.2">
      <c r="A48" s="3">
        <v>3</v>
      </c>
      <c r="B48" s="7">
        <v>-10</v>
      </c>
      <c r="C48" s="1"/>
    </row>
    <row r="49" spans="1:3" x14ac:dyDescent="0.2">
      <c r="A49" s="3">
        <v>4</v>
      </c>
      <c r="B49" s="7">
        <v>-10</v>
      </c>
      <c r="C49" s="1"/>
    </row>
    <row r="50" spans="1:3" x14ac:dyDescent="0.2">
      <c r="A50" s="3">
        <v>5</v>
      </c>
      <c r="B50" s="7">
        <v>-10</v>
      </c>
      <c r="C50" s="1">
        <v>125</v>
      </c>
    </row>
    <row r="51" spans="1:3" x14ac:dyDescent="0.2">
      <c r="A51" s="3">
        <v>6</v>
      </c>
      <c r="B51" s="7">
        <v>-10</v>
      </c>
      <c r="C51" s="1"/>
    </row>
    <row r="52" spans="1:3" x14ac:dyDescent="0.2">
      <c r="A52" s="3">
        <v>7</v>
      </c>
      <c r="B52" s="7">
        <v>-10</v>
      </c>
      <c r="C52" s="1"/>
    </row>
    <row r="53" spans="1:3" x14ac:dyDescent="0.2">
      <c r="A53" s="3">
        <v>8</v>
      </c>
      <c r="B53" s="7">
        <v>-10</v>
      </c>
      <c r="C53" s="1">
        <v>250</v>
      </c>
    </row>
    <row r="54" spans="1:3" x14ac:dyDescent="0.2">
      <c r="A54" s="3">
        <v>9</v>
      </c>
      <c r="B54" s="7">
        <v>-10</v>
      </c>
      <c r="C54" s="1"/>
    </row>
    <row r="55" spans="1:3" x14ac:dyDescent="0.2">
      <c r="A55" s="3">
        <v>10</v>
      </c>
      <c r="B55" s="7">
        <v>-10</v>
      </c>
      <c r="C55" s="1"/>
    </row>
    <row r="56" spans="1:3" x14ac:dyDescent="0.2">
      <c r="A56" s="3">
        <v>11</v>
      </c>
      <c r="B56" s="7">
        <v>-10</v>
      </c>
      <c r="C56" s="1">
        <v>500</v>
      </c>
    </row>
    <row r="57" spans="1:3" x14ac:dyDescent="0.2">
      <c r="A57" s="3">
        <v>12</v>
      </c>
      <c r="B57" s="7">
        <v>-10</v>
      </c>
      <c r="C57" s="1"/>
    </row>
    <row r="58" spans="1:3" x14ac:dyDescent="0.2">
      <c r="A58" s="3">
        <v>13</v>
      </c>
      <c r="B58" s="7">
        <v>-10</v>
      </c>
      <c r="C58" s="1"/>
    </row>
    <row r="59" spans="1:3" x14ac:dyDescent="0.2">
      <c r="A59" s="3">
        <v>14</v>
      </c>
      <c r="B59" s="7">
        <v>-10</v>
      </c>
      <c r="C59" s="1" t="s">
        <v>34</v>
      </c>
    </row>
    <row r="60" spans="1:3" x14ac:dyDescent="0.2">
      <c r="A60" s="3">
        <v>15</v>
      </c>
      <c r="B60" s="7">
        <v>-10</v>
      </c>
      <c r="C60" s="1"/>
    </row>
    <row r="61" spans="1:3" x14ac:dyDescent="0.2">
      <c r="A61" s="3">
        <v>16</v>
      </c>
      <c r="B61" s="7">
        <v>-10</v>
      </c>
      <c r="C61" s="1"/>
    </row>
    <row r="62" spans="1:3" x14ac:dyDescent="0.2">
      <c r="A62" s="3">
        <v>17</v>
      </c>
      <c r="B62" s="7">
        <v>-10</v>
      </c>
      <c r="C62" s="1" t="s">
        <v>35</v>
      </c>
    </row>
    <row r="63" spans="1:3" x14ac:dyDescent="0.2">
      <c r="A63" s="3">
        <v>18</v>
      </c>
      <c r="B63" s="7">
        <v>-10</v>
      </c>
      <c r="C63" s="1"/>
    </row>
    <row r="64" spans="1:3" x14ac:dyDescent="0.2">
      <c r="A64" s="3">
        <v>19</v>
      </c>
      <c r="B64" s="7">
        <v>-10</v>
      </c>
      <c r="C64" s="1"/>
    </row>
    <row r="65" spans="1:3" x14ac:dyDescent="0.2">
      <c r="A65" s="3">
        <v>20</v>
      </c>
      <c r="B65" s="7">
        <v>-10</v>
      </c>
      <c r="C65" s="1" t="s">
        <v>36</v>
      </c>
    </row>
    <row r="66" spans="1:3" x14ac:dyDescent="0.2">
      <c r="A66" s="3">
        <v>21</v>
      </c>
      <c r="B66" s="7">
        <v>-10</v>
      </c>
      <c r="C66" s="1"/>
    </row>
    <row r="67" spans="1:3" x14ac:dyDescent="0.2">
      <c r="A67" s="3">
        <v>22</v>
      </c>
      <c r="B67" s="7">
        <v>-10</v>
      </c>
      <c r="C67" s="1"/>
    </row>
    <row r="68" spans="1:3" x14ac:dyDescent="0.2">
      <c r="A68" s="3">
        <v>23</v>
      </c>
      <c r="B68" s="7">
        <v>-10</v>
      </c>
      <c r="C68" s="1" t="s">
        <v>37</v>
      </c>
    </row>
    <row r="69" spans="1:3" x14ac:dyDescent="0.2">
      <c r="A69" s="3">
        <v>24</v>
      </c>
      <c r="B69" s="7">
        <v>-10</v>
      </c>
      <c r="C69" s="1"/>
    </row>
  </sheetData>
  <mergeCells count="3">
    <mergeCell ref="A1:B1"/>
    <mergeCell ref="H1:I1"/>
    <mergeCell ref="R1:S1"/>
  </mergeCells>
  <phoneticPr fontId="2" type="noConversion"/>
  <pageMargins left="0.75" right="0.75" top="1" bottom="1" header="0.5" footer="0.5"/>
  <pageSetup scale="8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4" r:id="rId4" name="Button 90">
              <controlPr defaultSize="0" print="0" autoFill="0" autoPict="0" macro="[0]!Macro1">
                <anchor moveWithCells="1">
                  <from>
                    <xdr:col>0</xdr:col>
                    <xdr:colOff>9525</xdr:colOff>
                    <xdr:row>3</xdr:row>
                    <xdr:rowOff>19050</xdr:rowOff>
                  </from>
                  <to>
                    <xdr:col>1</xdr:col>
                    <xdr:colOff>85725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5" name="Button 91">
              <controlPr defaultSize="0" print="0" autoFill="0" autoPict="0" macro="[0]!Macro2">
                <anchor moveWithCells="1">
                  <from>
                    <xdr:col>1</xdr:col>
                    <xdr:colOff>95250</xdr:colOff>
                    <xdr:row>3</xdr:row>
                    <xdr:rowOff>19050</xdr:rowOff>
                  </from>
                  <to>
                    <xdr:col>2</xdr:col>
                    <xdr:colOff>219075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6" name="Button 92">
              <controlPr defaultSize="0" print="0" autoFill="0" autoPict="0" macro="[0]!Macro3">
                <anchor moveWithCells="1">
                  <from>
                    <xdr:col>2</xdr:col>
                    <xdr:colOff>228600</xdr:colOff>
                    <xdr:row>3</xdr:row>
                    <xdr:rowOff>19050</xdr:rowOff>
                  </from>
                  <to>
                    <xdr:col>4</xdr:col>
                    <xdr:colOff>180975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7" name="Button 109">
              <controlPr defaultSize="0" print="0" autoFill="0" autoPict="0" macro="[0]!Macro4">
                <anchor moveWithCells="1">
                  <from>
                    <xdr:col>4</xdr:col>
                    <xdr:colOff>190500</xdr:colOff>
                    <xdr:row>3</xdr:row>
                    <xdr:rowOff>19050</xdr:rowOff>
                  </from>
                  <to>
                    <xdr:col>5</xdr:col>
                    <xdr:colOff>247650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8" name="Button 115">
              <controlPr defaultSize="0" print="0" autoFill="0" autoPict="0" macro="[0]!macro5">
                <anchor moveWithCells="1">
                  <from>
                    <xdr:col>5</xdr:col>
                    <xdr:colOff>257175</xdr:colOff>
                    <xdr:row>3</xdr:row>
                    <xdr:rowOff>19050</xdr:rowOff>
                  </from>
                  <to>
                    <xdr:col>6</xdr:col>
                    <xdr:colOff>466725</xdr:colOff>
                    <xdr:row>3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8"/>
  <sheetViews>
    <sheetView tabSelected="1" workbookViewId="0">
      <selection activeCell="H26" sqref="H26"/>
    </sheetView>
  </sheetViews>
  <sheetFormatPr defaultRowHeight="12.75" x14ac:dyDescent="0.2"/>
  <cols>
    <col min="1" max="1" width="6.28515625" customWidth="1"/>
    <col min="2" max="2" width="6.85546875" customWidth="1"/>
    <col min="3" max="3" width="7.7109375" customWidth="1"/>
    <col min="4" max="4" width="7.140625" customWidth="1"/>
    <col min="5" max="5" width="6.42578125" bestFit="1" customWidth="1"/>
    <col min="6" max="6" width="5.140625" customWidth="1"/>
    <col min="7" max="7" width="7.85546875" customWidth="1"/>
    <col min="8" max="8" width="8.140625" customWidth="1"/>
    <col min="9" max="9" width="6.42578125" customWidth="1"/>
    <col min="10" max="10" width="6.5703125" customWidth="1"/>
    <col min="11" max="11" width="6.28515625" customWidth="1"/>
    <col min="12" max="12" width="6.140625" customWidth="1"/>
    <col min="13" max="13" width="5.85546875" customWidth="1"/>
    <col min="14" max="14" width="7.28515625" customWidth="1"/>
    <col min="15" max="15" width="5.5703125" customWidth="1"/>
    <col min="16" max="16" width="7.42578125" customWidth="1"/>
    <col min="17" max="17" width="5.85546875" customWidth="1"/>
    <col min="18" max="18" width="6.5703125" customWidth="1"/>
    <col min="19" max="19" width="7.42578125" customWidth="1"/>
    <col min="20" max="20" width="6.85546875" customWidth="1"/>
    <col min="21" max="21" width="8.7109375" customWidth="1"/>
    <col min="22" max="22" width="8.5703125" bestFit="1" customWidth="1"/>
    <col min="23" max="23" width="7.7109375" customWidth="1"/>
    <col min="24" max="24" width="6.140625" customWidth="1"/>
    <col min="25" max="25" width="7" customWidth="1"/>
    <col min="26" max="26" width="6.5703125" customWidth="1"/>
    <col min="27" max="27" width="6.85546875" customWidth="1"/>
    <col min="28" max="28" width="6.5703125" customWidth="1"/>
    <col min="29" max="30" width="7.28515625" bestFit="1" customWidth="1"/>
  </cols>
  <sheetData>
    <row r="1" spans="1:39" ht="66.75" customHeight="1" x14ac:dyDescent="0.2">
      <c r="A1" s="80" t="s">
        <v>2</v>
      </c>
      <c r="B1" s="75" t="s">
        <v>91</v>
      </c>
      <c r="C1" s="79" t="s">
        <v>85</v>
      </c>
      <c r="D1" s="75" t="s">
        <v>86</v>
      </c>
      <c r="E1" s="75" t="s">
        <v>87</v>
      </c>
      <c r="F1" s="75" t="s">
        <v>88</v>
      </c>
      <c r="G1" s="75" t="s">
        <v>89</v>
      </c>
      <c r="H1" s="76" t="s">
        <v>90</v>
      </c>
      <c r="I1" s="79" t="s">
        <v>3</v>
      </c>
      <c r="J1" s="75" t="s">
        <v>4</v>
      </c>
      <c r="K1" s="75" t="s">
        <v>5</v>
      </c>
      <c r="L1" s="75" t="s">
        <v>6</v>
      </c>
      <c r="M1" s="75" t="s">
        <v>7</v>
      </c>
      <c r="N1" s="75" t="s">
        <v>8</v>
      </c>
      <c r="O1" s="75" t="s">
        <v>9</v>
      </c>
      <c r="P1" s="75" t="s">
        <v>10</v>
      </c>
      <c r="Q1" s="75" t="s">
        <v>11</v>
      </c>
      <c r="R1" s="75" t="s">
        <v>12</v>
      </c>
      <c r="S1" s="75" t="s">
        <v>13</v>
      </c>
      <c r="T1" s="75" t="s">
        <v>14</v>
      </c>
      <c r="U1" s="75" t="s">
        <v>15</v>
      </c>
      <c r="V1" s="75" t="s">
        <v>16</v>
      </c>
      <c r="W1" s="79" t="s">
        <v>46</v>
      </c>
      <c r="X1" s="75" t="s">
        <v>17</v>
      </c>
      <c r="Y1" s="75" t="s">
        <v>18</v>
      </c>
      <c r="Z1" s="75" t="s">
        <v>19</v>
      </c>
      <c r="AA1" s="75" t="s">
        <v>47</v>
      </c>
      <c r="AB1" s="75" t="s">
        <v>20</v>
      </c>
      <c r="AC1" s="76" t="s">
        <v>21</v>
      </c>
      <c r="AD1" s="222" t="s">
        <v>93</v>
      </c>
      <c r="AE1" s="223"/>
      <c r="AF1" s="223"/>
      <c r="AG1" s="223"/>
      <c r="AH1" s="224"/>
      <c r="AI1" s="80" t="s">
        <v>22</v>
      </c>
      <c r="AJ1" s="75" t="s">
        <v>23</v>
      </c>
      <c r="AK1" s="75" t="s">
        <v>24</v>
      </c>
      <c r="AL1" s="85" t="s">
        <v>92</v>
      </c>
      <c r="AM1" s="215" t="s">
        <v>187</v>
      </c>
    </row>
    <row r="2" spans="1:39" x14ac:dyDescent="0.2">
      <c r="A2" s="87">
        <v>50</v>
      </c>
      <c r="B2" s="88">
        <v>53.6</v>
      </c>
      <c r="C2" s="100">
        <f t="shared" ref="C2:H6" si="0">C3-2</f>
        <v>36.700000000000003</v>
      </c>
      <c r="D2" s="101">
        <f t="shared" si="0"/>
        <v>38.1</v>
      </c>
      <c r="E2" s="101">
        <f t="shared" si="0"/>
        <v>39.5</v>
      </c>
      <c r="F2" s="101">
        <f t="shared" si="0"/>
        <v>41</v>
      </c>
      <c r="G2" s="101">
        <f t="shared" si="0"/>
        <v>36.5</v>
      </c>
      <c r="H2" s="102">
        <f t="shared" si="0"/>
        <v>46.4</v>
      </c>
      <c r="I2" s="88">
        <v>34</v>
      </c>
      <c r="J2" s="88">
        <v>38</v>
      </c>
      <c r="K2" s="88">
        <v>34</v>
      </c>
      <c r="L2" s="88">
        <v>44</v>
      </c>
      <c r="M2" s="88">
        <v>51</v>
      </c>
      <c r="N2" s="88">
        <v>26</v>
      </c>
      <c r="O2" s="88">
        <v>15</v>
      </c>
      <c r="P2" s="88">
        <v>34</v>
      </c>
      <c r="Q2" s="88">
        <v>43</v>
      </c>
      <c r="R2" s="88">
        <v>34</v>
      </c>
      <c r="S2" s="88">
        <v>18</v>
      </c>
      <c r="T2" s="88">
        <v>40</v>
      </c>
      <c r="U2" s="88">
        <v>29</v>
      </c>
      <c r="V2" s="88">
        <v>34</v>
      </c>
      <c r="W2" s="89">
        <v>41.7</v>
      </c>
      <c r="X2" s="88">
        <v>44</v>
      </c>
      <c r="Y2" s="88">
        <v>44</v>
      </c>
      <c r="Z2" s="88">
        <v>46</v>
      </c>
      <c r="AA2" s="88">
        <v>58</v>
      </c>
      <c r="AB2" s="88">
        <v>66</v>
      </c>
      <c r="AC2" s="88">
        <v>35</v>
      </c>
      <c r="AD2" s="94">
        <v>0</v>
      </c>
      <c r="AE2" s="90">
        <v>0</v>
      </c>
      <c r="AF2" s="90">
        <v>1</v>
      </c>
      <c r="AG2" s="90">
        <v>1</v>
      </c>
      <c r="AH2" s="63">
        <v>0.5</v>
      </c>
      <c r="AI2" s="96">
        <v>10.157999999999999</v>
      </c>
      <c r="AJ2" s="90">
        <v>-30.2</v>
      </c>
      <c r="AK2" s="90"/>
      <c r="AL2" s="97">
        <v>0</v>
      </c>
      <c r="AM2" s="32">
        <v>79</v>
      </c>
    </row>
    <row r="3" spans="1:39" x14ac:dyDescent="0.2">
      <c r="A3" s="81">
        <v>63</v>
      </c>
      <c r="B3" s="12">
        <v>57.3</v>
      </c>
      <c r="C3" s="83">
        <f t="shared" si="0"/>
        <v>38.700000000000003</v>
      </c>
      <c r="D3" s="77">
        <f t="shared" si="0"/>
        <v>40.1</v>
      </c>
      <c r="E3" s="77">
        <f t="shared" si="0"/>
        <v>41.5</v>
      </c>
      <c r="F3" s="77">
        <f t="shared" si="0"/>
        <v>43</v>
      </c>
      <c r="G3" s="77">
        <f t="shared" si="0"/>
        <v>38.5</v>
      </c>
      <c r="H3" s="78">
        <f t="shared" si="0"/>
        <v>48.4</v>
      </c>
      <c r="I3" s="12">
        <v>34</v>
      </c>
      <c r="J3" s="12">
        <v>38</v>
      </c>
      <c r="K3" s="12">
        <v>33</v>
      </c>
      <c r="L3" s="12">
        <v>43</v>
      </c>
      <c r="M3" s="12">
        <v>51</v>
      </c>
      <c r="N3" s="12">
        <v>25</v>
      </c>
      <c r="O3" s="12">
        <v>15</v>
      </c>
      <c r="P3" s="12">
        <v>35</v>
      </c>
      <c r="Q3" s="12">
        <v>45</v>
      </c>
      <c r="R3" s="12">
        <v>37</v>
      </c>
      <c r="S3" s="12">
        <v>17</v>
      </c>
      <c r="T3" s="12">
        <v>37</v>
      </c>
      <c r="U3" s="12">
        <v>29</v>
      </c>
      <c r="V3" s="12">
        <v>35</v>
      </c>
      <c r="W3" s="84">
        <v>35.6</v>
      </c>
      <c r="X3" s="12">
        <v>41.4</v>
      </c>
      <c r="Y3" s="12">
        <v>41.5</v>
      </c>
      <c r="Z3" s="12">
        <v>43.4</v>
      </c>
      <c r="AA3" s="12">
        <v>51</v>
      </c>
      <c r="AB3" s="12">
        <v>60</v>
      </c>
      <c r="AC3" s="12">
        <v>35</v>
      </c>
      <c r="AD3" s="95">
        <v>0</v>
      </c>
      <c r="AE3" s="4">
        <v>0.5333</v>
      </c>
      <c r="AF3" s="4">
        <v>1</v>
      </c>
      <c r="AG3" s="4">
        <v>0.66830000000000001</v>
      </c>
      <c r="AH3" s="42">
        <v>0.45</v>
      </c>
      <c r="AI3" s="82">
        <v>9.48</v>
      </c>
      <c r="AJ3" s="4">
        <v>-26.2</v>
      </c>
      <c r="AK3" s="4">
        <v>-0.8</v>
      </c>
      <c r="AL3" s="98">
        <v>0</v>
      </c>
      <c r="AM3" s="32">
        <v>79</v>
      </c>
    </row>
    <row r="4" spans="1:39" x14ac:dyDescent="0.2">
      <c r="A4" s="81">
        <v>80</v>
      </c>
      <c r="B4" s="12">
        <v>60.9</v>
      </c>
      <c r="C4" s="83">
        <f t="shared" si="0"/>
        <v>40.700000000000003</v>
      </c>
      <c r="D4" s="77">
        <f t="shared" si="0"/>
        <v>42.1</v>
      </c>
      <c r="E4" s="77">
        <f t="shared" si="0"/>
        <v>43.5</v>
      </c>
      <c r="F4" s="77">
        <f t="shared" si="0"/>
        <v>45</v>
      </c>
      <c r="G4" s="77">
        <f t="shared" si="0"/>
        <v>40.5</v>
      </c>
      <c r="H4" s="78">
        <f t="shared" si="0"/>
        <v>50.4</v>
      </c>
      <c r="I4" s="12">
        <v>33</v>
      </c>
      <c r="J4" s="12">
        <v>35</v>
      </c>
      <c r="K4" s="12">
        <v>32</v>
      </c>
      <c r="L4" s="12">
        <v>42</v>
      </c>
      <c r="M4" s="12">
        <v>51</v>
      </c>
      <c r="N4" s="12">
        <v>24</v>
      </c>
      <c r="O4" s="12">
        <v>15</v>
      </c>
      <c r="P4" s="12">
        <v>35</v>
      </c>
      <c r="Q4" s="12">
        <v>48</v>
      </c>
      <c r="R4" s="12">
        <v>38</v>
      </c>
      <c r="S4" s="12">
        <v>16</v>
      </c>
      <c r="T4" s="12">
        <v>38</v>
      </c>
      <c r="U4" s="12">
        <v>28</v>
      </c>
      <c r="V4" s="12">
        <v>35</v>
      </c>
      <c r="W4" s="84">
        <v>29.8</v>
      </c>
      <c r="X4" s="12">
        <v>38.799999999999997</v>
      </c>
      <c r="Y4" s="12">
        <v>38.9</v>
      </c>
      <c r="Z4" s="12">
        <v>40.9</v>
      </c>
      <c r="AA4" s="12">
        <v>45</v>
      </c>
      <c r="AB4" s="12">
        <v>55</v>
      </c>
      <c r="AC4" s="12">
        <v>35</v>
      </c>
      <c r="AD4" s="95">
        <v>0.30480000000000002</v>
      </c>
      <c r="AE4" s="4">
        <v>0.4355</v>
      </c>
      <c r="AF4" s="4">
        <v>1</v>
      </c>
      <c r="AG4" s="4">
        <v>0.51759999999999995</v>
      </c>
      <c r="AH4" s="42">
        <v>0.3846</v>
      </c>
      <c r="AI4" s="82">
        <v>9.0540000000000003</v>
      </c>
      <c r="AJ4" s="4">
        <v>-22.5</v>
      </c>
      <c r="AK4" s="4">
        <v>-0.5</v>
      </c>
      <c r="AL4" s="98">
        <v>0</v>
      </c>
      <c r="AM4" s="32">
        <v>79</v>
      </c>
    </row>
    <row r="5" spans="1:39" x14ac:dyDescent="0.2">
      <c r="A5" s="81">
        <v>100</v>
      </c>
      <c r="B5" s="12">
        <v>69.8</v>
      </c>
      <c r="C5" s="83">
        <f t="shared" si="0"/>
        <v>42.7</v>
      </c>
      <c r="D5" s="77">
        <f t="shared" si="0"/>
        <v>44.1</v>
      </c>
      <c r="E5" s="77">
        <f t="shared" si="0"/>
        <v>45.5</v>
      </c>
      <c r="F5" s="77">
        <f t="shared" si="0"/>
        <v>47</v>
      </c>
      <c r="G5" s="77">
        <f t="shared" si="0"/>
        <v>42.5</v>
      </c>
      <c r="H5" s="78">
        <f t="shared" si="0"/>
        <v>52.4</v>
      </c>
      <c r="I5" s="12">
        <v>30</v>
      </c>
      <c r="J5" s="12">
        <v>33</v>
      </c>
      <c r="K5" s="12">
        <v>30.5</v>
      </c>
      <c r="L5" s="12">
        <v>41</v>
      </c>
      <c r="M5" s="12">
        <v>50</v>
      </c>
      <c r="N5" s="12">
        <v>22</v>
      </c>
      <c r="O5" s="12">
        <v>15</v>
      </c>
      <c r="P5" s="12">
        <v>35</v>
      </c>
      <c r="Q5" s="12">
        <v>47</v>
      </c>
      <c r="R5" s="12">
        <v>38</v>
      </c>
      <c r="S5" s="12">
        <v>15</v>
      </c>
      <c r="T5" s="12">
        <v>37</v>
      </c>
      <c r="U5" s="12">
        <v>26</v>
      </c>
      <c r="V5" s="12">
        <v>35</v>
      </c>
      <c r="W5" s="84">
        <v>25.1</v>
      </c>
      <c r="X5" s="12">
        <v>36.200000000000003</v>
      </c>
      <c r="Y5" s="12">
        <v>36.299999999999997</v>
      </c>
      <c r="Z5" s="12">
        <v>38.299999999999997</v>
      </c>
      <c r="AA5" s="12">
        <v>40</v>
      </c>
      <c r="AB5" s="12">
        <v>51</v>
      </c>
      <c r="AC5" s="12">
        <v>35</v>
      </c>
      <c r="AD5" s="95">
        <v>0.15210000000000001</v>
      </c>
      <c r="AE5" s="4">
        <v>0.35649999999999998</v>
      </c>
      <c r="AF5" s="4">
        <v>1</v>
      </c>
      <c r="AG5" s="4">
        <v>0.39989999999999998</v>
      </c>
      <c r="AH5" s="42">
        <v>0.1321</v>
      </c>
      <c r="AI5" s="82">
        <v>8.8480000000000008</v>
      </c>
      <c r="AJ5" s="4">
        <v>-19.100000000000001</v>
      </c>
      <c r="AK5" s="4">
        <v>-0.3</v>
      </c>
      <c r="AL5" s="98">
        <v>0</v>
      </c>
      <c r="AM5" s="32">
        <v>79</v>
      </c>
    </row>
    <row r="6" spans="1:39" x14ac:dyDescent="0.2">
      <c r="A6" s="81">
        <v>125</v>
      </c>
      <c r="B6" s="12">
        <v>68.2</v>
      </c>
      <c r="C6" s="83">
        <f t="shared" si="0"/>
        <v>44.7</v>
      </c>
      <c r="D6" s="77">
        <f t="shared" si="0"/>
        <v>46.1</v>
      </c>
      <c r="E6" s="77">
        <f t="shared" si="0"/>
        <v>47.5</v>
      </c>
      <c r="F6" s="77">
        <f t="shared" si="0"/>
        <v>49</v>
      </c>
      <c r="G6" s="77">
        <f t="shared" si="0"/>
        <v>44.5</v>
      </c>
      <c r="H6" s="78">
        <f t="shared" si="0"/>
        <v>54.4</v>
      </c>
      <c r="I6" s="12">
        <v>28</v>
      </c>
      <c r="J6" s="12">
        <v>30.5</v>
      </c>
      <c r="K6" s="12">
        <v>29</v>
      </c>
      <c r="L6" s="12">
        <v>40</v>
      </c>
      <c r="M6" s="12">
        <v>50</v>
      </c>
      <c r="N6" s="12">
        <v>21</v>
      </c>
      <c r="O6" s="12">
        <v>15</v>
      </c>
      <c r="P6" s="12">
        <v>35</v>
      </c>
      <c r="Q6" s="12">
        <v>45</v>
      </c>
      <c r="R6" s="12">
        <v>37</v>
      </c>
      <c r="S6" s="12">
        <v>14</v>
      </c>
      <c r="T6" s="12">
        <v>32</v>
      </c>
      <c r="U6" s="12">
        <v>24</v>
      </c>
      <c r="V6" s="12">
        <v>35</v>
      </c>
      <c r="W6" s="84">
        <v>20.8</v>
      </c>
      <c r="X6" s="12">
        <v>33.6</v>
      </c>
      <c r="Y6" s="12">
        <v>33.799999999999997</v>
      </c>
      <c r="Z6" s="12">
        <v>35.700000000000003</v>
      </c>
      <c r="AA6" s="12">
        <v>36</v>
      </c>
      <c r="AB6" s="12">
        <v>48</v>
      </c>
      <c r="AC6" s="12">
        <v>35</v>
      </c>
      <c r="AD6" s="95">
        <v>7.5679999999999997E-2</v>
      </c>
      <c r="AE6" s="4">
        <v>0.29170000000000001</v>
      </c>
      <c r="AF6" s="4">
        <v>1</v>
      </c>
      <c r="AG6" s="4">
        <v>0.309</v>
      </c>
      <c r="AH6" s="42">
        <v>4.539E-2</v>
      </c>
      <c r="AI6" s="82">
        <v>8.7469999999999999</v>
      </c>
      <c r="AJ6" s="4">
        <v>-16.100000000000001</v>
      </c>
      <c r="AK6" s="4">
        <v>-0.2</v>
      </c>
      <c r="AL6" s="98">
        <v>0</v>
      </c>
      <c r="AM6" s="32">
        <v>79</v>
      </c>
    </row>
    <row r="7" spans="1:39" x14ac:dyDescent="0.2">
      <c r="A7" s="81">
        <v>160</v>
      </c>
      <c r="B7" s="12">
        <v>69.599999999999994</v>
      </c>
      <c r="C7" s="83">
        <v>46.7</v>
      </c>
      <c r="D7" s="77">
        <v>48.1</v>
      </c>
      <c r="E7" s="77">
        <v>49.5</v>
      </c>
      <c r="F7" s="77">
        <v>51</v>
      </c>
      <c r="G7" s="77">
        <v>46.5</v>
      </c>
      <c r="H7" s="78">
        <v>56.4</v>
      </c>
      <c r="I7" s="12">
        <v>27.5</v>
      </c>
      <c r="J7" s="12">
        <v>28</v>
      </c>
      <c r="K7" s="12">
        <v>26</v>
      </c>
      <c r="L7" s="12">
        <v>38</v>
      </c>
      <c r="M7" s="12">
        <v>49</v>
      </c>
      <c r="N7" s="12">
        <v>20</v>
      </c>
      <c r="O7" s="12">
        <v>15</v>
      </c>
      <c r="P7" s="12">
        <v>34</v>
      </c>
      <c r="Q7" s="12">
        <v>42</v>
      </c>
      <c r="R7" s="12">
        <v>34</v>
      </c>
      <c r="S7" s="12">
        <v>13</v>
      </c>
      <c r="T7" s="12">
        <v>27</v>
      </c>
      <c r="U7" s="12">
        <v>23</v>
      </c>
      <c r="V7" s="12">
        <v>34</v>
      </c>
      <c r="W7" s="84">
        <v>16.8</v>
      </c>
      <c r="X7" s="12">
        <v>31</v>
      </c>
      <c r="Y7" s="12">
        <v>31.3</v>
      </c>
      <c r="Z7" s="12">
        <v>33.200000000000003</v>
      </c>
      <c r="AA7" s="12">
        <v>32</v>
      </c>
      <c r="AB7" s="12">
        <v>46</v>
      </c>
      <c r="AC7" s="12">
        <v>35</v>
      </c>
      <c r="AD7" s="95">
        <v>3.7760000000000002E-2</v>
      </c>
      <c r="AE7" s="4">
        <v>0.23880000000000001</v>
      </c>
      <c r="AF7" s="4">
        <v>1</v>
      </c>
      <c r="AG7" s="4">
        <v>0.23880000000000001</v>
      </c>
      <c r="AH7" s="42">
        <v>1.5599999999999999E-2</v>
      </c>
      <c r="AI7" s="82">
        <v>8.7469999999999999</v>
      </c>
      <c r="AJ7" s="4">
        <v>-13.4</v>
      </c>
      <c r="AK7" s="4">
        <v>-0.1</v>
      </c>
      <c r="AL7" s="98">
        <v>0</v>
      </c>
      <c r="AM7" s="32">
        <v>79</v>
      </c>
    </row>
    <row r="8" spans="1:39" x14ac:dyDescent="0.2">
      <c r="A8" s="81">
        <v>200</v>
      </c>
      <c r="B8" s="12">
        <v>59</v>
      </c>
      <c r="C8" s="83">
        <v>47.7</v>
      </c>
      <c r="D8" s="77">
        <v>51.1</v>
      </c>
      <c r="E8" s="77">
        <v>50.6</v>
      </c>
      <c r="F8" s="77">
        <v>54.4</v>
      </c>
      <c r="G8" s="77">
        <v>53.3</v>
      </c>
      <c r="H8" s="78">
        <v>57.4</v>
      </c>
      <c r="I8" s="12">
        <v>27.5</v>
      </c>
      <c r="J8" s="12">
        <v>26</v>
      </c>
      <c r="K8" s="12">
        <v>23.5</v>
      </c>
      <c r="L8" s="12">
        <v>35</v>
      </c>
      <c r="M8" s="12">
        <v>48</v>
      </c>
      <c r="N8" s="12">
        <v>19</v>
      </c>
      <c r="O8" s="12">
        <v>15</v>
      </c>
      <c r="P8" s="12">
        <v>33</v>
      </c>
      <c r="Q8" s="12">
        <v>41</v>
      </c>
      <c r="R8" s="12">
        <v>31</v>
      </c>
      <c r="S8" s="12">
        <v>12</v>
      </c>
      <c r="T8" s="12">
        <v>26</v>
      </c>
      <c r="U8" s="12">
        <v>21</v>
      </c>
      <c r="V8" s="12">
        <v>33</v>
      </c>
      <c r="W8" s="84">
        <v>13.8</v>
      </c>
      <c r="X8" s="12">
        <v>28.4</v>
      </c>
      <c r="Y8" s="12">
        <v>28.7</v>
      </c>
      <c r="Z8" s="12">
        <v>30.6</v>
      </c>
      <c r="AA8" s="12">
        <v>30</v>
      </c>
      <c r="AB8" s="12">
        <v>44</v>
      </c>
      <c r="AC8" s="12">
        <v>35</v>
      </c>
      <c r="AD8" s="95">
        <v>0</v>
      </c>
      <c r="AE8" s="4">
        <v>0.19500000000000001</v>
      </c>
      <c r="AF8" s="4">
        <v>1</v>
      </c>
      <c r="AG8" s="4">
        <v>0.1845</v>
      </c>
      <c r="AH8" s="42">
        <v>0</v>
      </c>
      <c r="AI8" s="82">
        <v>8.7469999999999999</v>
      </c>
      <c r="AJ8" s="4">
        <v>-10.9</v>
      </c>
      <c r="AK8" s="4">
        <v>0</v>
      </c>
      <c r="AL8" s="98">
        <v>4.0000000000000002E-4</v>
      </c>
      <c r="AM8" s="32">
        <v>79</v>
      </c>
    </row>
    <row r="9" spans="1:39" x14ac:dyDescent="0.2">
      <c r="A9" s="81">
        <v>250</v>
      </c>
      <c r="B9" s="12">
        <v>56.7</v>
      </c>
      <c r="C9" s="83">
        <v>48.1</v>
      </c>
      <c r="D9" s="77">
        <v>52.4</v>
      </c>
      <c r="E9" s="77">
        <v>56.6</v>
      </c>
      <c r="F9" s="77">
        <v>59.2</v>
      </c>
      <c r="G9" s="77">
        <v>60.1</v>
      </c>
      <c r="H9" s="78">
        <v>58.3</v>
      </c>
      <c r="I9" s="12">
        <v>27</v>
      </c>
      <c r="J9" s="12">
        <v>24.5</v>
      </c>
      <c r="K9" s="12">
        <v>21</v>
      </c>
      <c r="L9" s="12">
        <v>31</v>
      </c>
      <c r="M9" s="12">
        <v>47</v>
      </c>
      <c r="N9" s="12">
        <v>18</v>
      </c>
      <c r="O9" s="12">
        <v>15</v>
      </c>
      <c r="P9" s="12">
        <v>32</v>
      </c>
      <c r="Q9" s="12">
        <v>40</v>
      </c>
      <c r="R9" s="12">
        <v>28</v>
      </c>
      <c r="S9" s="12">
        <v>11</v>
      </c>
      <c r="T9" s="12">
        <v>25</v>
      </c>
      <c r="U9" s="12">
        <v>19</v>
      </c>
      <c r="V9" s="12">
        <v>32</v>
      </c>
      <c r="W9" s="84">
        <v>11.2</v>
      </c>
      <c r="X9" s="12">
        <v>25.9</v>
      </c>
      <c r="Y9" s="12">
        <v>26.1</v>
      </c>
      <c r="Z9" s="12">
        <v>28</v>
      </c>
      <c r="AA9" s="12">
        <v>28</v>
      </c>
      <c r="AB9" s="12">
        <v>43</v>
      </c>
      <c r="AC9" s="12">
        <v>36</v>
      </c>
      <c r="AD9" s="95">
        <v>0</v>
      </c>
      <c r="AE9" s="4">
        <v>0.15959999999999999</v>
      </c>
      <c r="AF9" s="4">
        <v>1</v>
      </c>
      <c r="AG9" s="4">
        <v>0.1429</v>
      </c>
      <c r="AH9" s="42">
        <v>0</v>
      </c>
      <c r="AI9" s="82">
        <v>9.0020000000000007</v>
      </c>
      <c r="AJ9" s="4">
        <v>-8.8000000000000007</v>
      </c>
      <c r="AK9" s="4">
        <v>0</v>
      </c>
      <c r="AL9" s="98">
        <v>1E-3</v>
      </c>
      <c r="AM9" s="32">
        <v>79</v>
      </c>
    </row>
    <row r="10" spans="1:39" x14ac:dyDescent="0.2">
      <c r="A10" s="81">
        <v>315</v>
      </c>
      <c r="B10" s="12">
        <v>55.1</v>
      </c>
      <c r="C10" s="83">
        <v>48</v>
      </c>
      <c r="D10" s="77">
        <v>52.6</v>
      </c>
      <c r="E10" s="77">
        <v>57.2</v>
      </c>
      <c r="F10" s="77">
        <v>62.4</v>
      </c>
      <c r="G10" s="77">
        <v>65.099999999999994</v>
      </c>
      <c r="H10" s="78">
        <v>59.3</v>
      </c>
      <c r="I10" s="12">
        <v>26</v>
      </c>
      <c r="J10" s="12">
        <v>24</v>
      </c>
      <c r="K10" s="12">
        <v>18.5</v>
      </c>
      <c r="L10" s="12">
        <v>28</v>
      </c>
      <c r="M10" s="12">
        <v>46</v>
      </c>
      <c r="N10" s="12">
        <v>17</v>
      </c>
      <c r="O10" s="12">
        <v>15</v>
      </c>
      <c r="P10" s="12">
        <v>31</v>
      </c>
      <c r="Q10" s="12">
        <v>39</v>
      </c>
      <c r="R10" s="12">
        <v>26</v>
      </c>
      <c r="S10" s="12">
        <v>10</v>
      </c>
      <c r="T10" s="12">
        <v>24</v>
      </c>
      <c r="U10" s="12">
        <v>18</v>
      </c>
      <c r="V10" s="12">
        <v>31</v>
      </c>
      <c r="W10" s="84">
        <v>9</v>
      </c>
      <c r="X10" s="12">
        <v>23.2</v>
      </c>
      <c r="Y10" s="12">
        <v>24</v>
      </c>
      <c r="Z10" s="12">
        <v>26</v>
      </c>
      <c r="AA10" s="12">
        <v>25</v>
      </c>
      <c r="AB10" s="12">
        <v>42</v>
      </c>
      <c r="AC10" s="12">
        <v>38</v>
      </c>
      <c r="AD10" s="95">
        <v>0</v>
      </c>
      <c r="AE10" s="4">
        <v>0.13059999999999999</v>
      </c>
      <c r="AF10" s="4">
        <v>1</v>
      </c>
      <c r="AG10" s="4">
        <v>0.1104</v>
      </c>
      <c r="AH10" s="42">
        <v>0</v>
      </c>
      <c r="AI10" s="82">
        <v>9.5350000000000001</v>
      </c>
      <c r="AJ10" s="4">
        <v>-6.6</v>
      </c>
      <c r="AK10" s="4">
        <v>0</v>
      </c>
      <c r="AL10" s="98">
        <v>1E-3</v>
      </c>
      <c r="AM10" s="32">
        <v>79</v>
      </c>
    </row>
    <row r="11" spans="1:39" x14ac:dyDescent="0.2">
      <c r="A11" s="81">
        <v>400</v>
      </c>
      <c r="B11" s="12">
        <v>57.4</v>
      </c>
      <c r="C11" s="83">
        <v>49.7</v>
      </c>
      <c r="D11" s="77">
        <v>54.3</v>
      </c>
      <c r="E11" s="77">
        <v>58.8</v>
      </c>
      <c r="F11" s="77">
        <v>63</v>
      </c>
      <c r="G11" s="77">
        <v>67.099999999999994</v>
      </c>
      <c r="H11" s="78">
        <v>60.4</v>
      </c>
      <c r="I11" s="12">
        <v>25</v>
      </c>
      <c r="J11" s="12">
        <v>24</v>
      </c>
      <c r="K11" s="12">
        <v>16.5</v>
      </c>
      <c r="L11" s="12">
        <v>25.5</v>
      </c>
      <c r="M11" s="12">
        <v>45</v>
      </c>
      <c r="N11" s="12">
        <v>16</v>
      </c>
      <c r="O11" s="12">
        <v>15</v>
      </c>
      <c r="P11" s="12">
        <v>30</v>
      </c>
      <c r="Q11" s="12">
        <v>37</v>
      </c>
      <c r="R11" s="12">
        <v>25</v>
      </c>
      <c r="S11" s="12">
        <v>9</v>
      </c>
      <c r="T11" s="12">
        <v>24</v>
      </c>
      <c r="U11" s="12">
        <v>16</v>
      </c>
      <c r="V11" s="12">
        <v>30</v>
      </c>
      <c r="W11" s="84">
        <v>7.2</v>
      </c>
      <c r="X11" s="12">
        <v>21.2</v>
      </c>
      <c r="Y11" s="12">
        <v>22.2</v>
      </c>
      <c r="Z11" s="12">
        <v>24.7</v>
      </c>
      <c r="AA11" s="12">
        <v>24</v>
      </c>
      <c r="AB11" s="12">
        <v>41</v>
      </c>
      <c r="AC11" s="12">
        <v>40</v>
      </c>
      <c r="AD11" s="95">
        <v>0</v>
      </c>
      <c r="AE11" s="4">
        <v>0.1069</v>
      </c>
      <c r="AF11" s="4">
        <v>1</v>
      </c>
      <c r="AG11" s="4">
        <v>8.5309999999999997E-2</v>
      </c>
      <c r="AH11" s="42">
        <v>0</v>
      </c>
      <c r="AI11" s="82">
        <v>10.395</v>
      </c>
      <c r="AJ11" s="4">
        <v>-4.8</v>
      </c>
      <c r="AK11" s="4">
        <v>0</v>
      </c>
      <c r="AL11" s="98">
        <v>1.4E-3</v>
      </c>
      <c r="AM11" s="32">
        <v>79</v>
      </c>
    </row>
    <row r="12" spans="1:39" x14ac:dyDescent="0.2">
      <c r="A12" s="81">
        <v>500</v>
      </c>
      <c r="B12" s="12">
        <v>56</v>
      </c>
      <c r="C12" s="83">
        <v>49</v>
      </c>
      <c r="D12" s="77">
        <v>54.9</v>
      </c>
      <c r="E12" s="77">
        <v>60.8</v>
      </c>
      <c r="F12" s="77">
        <v>65.5</v>
      </c>
      <c r="G12" s="77">
        <v>69.900000000000006</v>
      </c>
      <c r="H12" s="78">
        <v>61.3</v>
      </c>
      <c r="I12" s="12">
        <v>24.5</v>
      </c>
      <c r="J12" s="12">
        <v>24</v>
      </c>
      <c r="K12" s="12">
        <v>14</v>
      </c>
      <c r="L12" s="12">
        <v>23</v>
      </c>
      <c r="M12" s="12">
        <v>44</v>
      </c>
      <c r="N12" s="12">
        <v>15</v>
      </c>
      <c r="O12" s="12">
        <v>15</v>
      </c>
      <c r="P12" s="12">
        <v>29</v>
      </c>
      <c r="Q12" s="12">
        <v>36</v>
      </c>
      <c r="R12" s="12">
        <v>24</v>
      </c>
      <c r="S12" s="12">
        <v>8</v>
      </c>
      <c r="T12" s="12">
        <v>23</v>
      </c>
      <c r="U12" s="12">
        <v>15</v>
      </c>
      <c r="V12" s="12">
        <v>29</v>
      </c>
      <c r="W12" s="84">
        <v>6</v>
      </c>
      <c r="X12" s="12">
        <v>19.8</v>
      </c>
      <c r="Y12" s="12">
        <v>21.2</v>
      </c>
      <c r="Z12" s="12">
        <v>23.6</v>
      </c>
      <c r="AA12" s="12">
        <v>23</v>
      </c>
      <c r="AB12" s="12">
        <v>40</v>
      </c>
      <c r="AC12" s="12">
        <v>41</v>
      </c>
      <c r="AD12" s="95">
        <v>0</v>
      </c>
      <c r="AE12" s="4">
        <v>8.7499999999999994E-2</v>
      </c>
      <c r="AF12" s="4">
        <v>1</v>
      </c>
      <c r="AG12" s="4">
        <v>6.5920000000000006E-2</v>
      </c>
      <c r="AH12" s="42">
        <v>0</v>
      </c>
      <c r="AI12" s="82">
        <v>11.398</v>
      </c>
      <c r="AJ12" s="4">
        <v>-3.2</v>
      </c>
      <c r="AK12" s="4">
        <v>0</v>
      </c>
      <c r="AL12" s="98">
        <v>1.4E-3</v>
      </c>
      <c r="AM12" s="32">
        <v>79</v>
      </c>
    </row>
    <row r="13" spans="1:39" x14ac:dyDescent="0.2">
      <c r="A13" s="81">
        <v>630</v>
      </c>
      <c r="B13" s="12">
        <v>54.9</v>
      </c>
      <c r="C13" s="83">
        <v>47</v>
      </c>
      <c r="D13" s="77">
        <v>53.7</v>
      </c>
      <c r="E13" s="77">
        <v>60.4</v>
      </c>
      <c r="F13" s="77">
        <v>67.2</v>
      </c>
      <c r="G13" s="77">
        <v>72.900000000000006</v>
      </c>
      <c r="H13" s="78">
        <v>59.3</v>
      </c>
      <c r="I13" s="12">
        <v>24</v>
      </c>
      <c r="J13" s="12">
        <v>25</v>
      </c>
      <c r="K13" s="12">
        <v>12.5</v>
      </c>
      <c r="L13" s="12">
        <v>20.5</v>
      </c>
      <c r="M13" s="12">
        <v>42</v>
      </c>
      <c r="N13" s="12">
        <v>14</v>
      </c>
      <c r="O13" s="12">
        <v>15</v>
      </c>
      <c r="P13" s="12">
        <v>27</v>
      </c>
      <c r="Q13" s="12">
        <v>34</v>
      </c>
      <c r="R13" s="12">
        <v>24</v>
      </c>
      <c r="S13" s="12">
        <v>6</v>
      </c>
      <c r="T13" s="12">
        <v>21</v>
      </c>
      <c r="U13" s="12">
        <v>14</v>
      </c>
      <c r="V13" s="12">
        <v>27</v>
      </c>
      <c r="W13" s="84">
        <v>5</v>
      </c>
      <c r="X13" s="12">
        <v>18.600000000000001</v>
      </c>
      <c r="Y13" s="12">
        <v>20.5</v>
      </c>
      <c r="Z13" s="12">
        <v>23</v>
      </c>
      <c r="AA13" s="12">
        <v>23</v>
      </c>
      <c r="AB13" s="12">
        <v>40</v>
      </c>
      <c r="AC13" s="12">
        <v>41.5</v>
      </c>
      <c r="AD13" s="95">
        <v>0</v>
      </c>
      <c r="AE13" s="4">
        <v>0</v>
      </c>
      <c r="AF13" s="4">
        <v>1</v>
      </c>
      <c r="AG13" s="4">
        <v>0</v>
      </c>
      <c r="AH13" s="42">
        <v>0</v>
      </c>
      <c r="AI13" s="82">
        <v>12.497999999999999</v>
      </c>
      <c r="AJ13" s="4">
        <v>-1.9</v>
      </c>
      <c r="AK13" s="4">
        <v>0</v>
      </c>
      <c r="AL13" s="98">
        <v>2E-3</v>
      </c>
      <c r="AM13" s="32">
        <v>79</v>
      </c>
    </row>
    <row r="14" spans="1:39" x14ac:dyDescent="0.2">
      <c r="A14" s="81">
        <v>800</v>
      </c>
      <c r="B14" s="12">
        <v>51</v>
      </c>
      <c r="C14" s="83">
        <v>42.9</v>
      </c>
      <c r="D14" s="77">
        <v>51</v>
      </c>
      <c r="E14" s="77">
        <v>59</v>
      </c>
      <c r="F14" s="77">
        <v>66.7</v>
      </c>
      <c r="G14" s="77">
        <v>74.099999999999994</v>
      </c>
      <c r="H14" s="78">
        <v>57.4</v>
      </c>
      <c r="I14" s="12">
        <v>24</v>
      </c>
      <c r="J14" s="12">
        <v>26</v>
      </c>
      <c r="K14" s="12">
        <v>11</v>
      </c>
      <c r="L14" s="12">
        <v>18</v>
      </c>
      <c r="M14" s="12">
        <v>40</v>
      </c>
      <c r="N14" s="12">
        <v>14</v>
      </c>
      <c r="O14" s="12">
        <v>15</v>
      </c>
      <c r="P14" s="12">
        <v>25</v>
      </c>
      <c r="Q14" s="12">
        <v>34</v>
      </c>
      <c r="R14" s="12">
        <v>23</v>
      </c>
      <c r="S14" s="12">
        <v>5</v>
      </c>
      <c r="T14" s="12">
        <v>20</v>
      </c>
      <c r="U14" s="12">
        <v>13</v>
      </c>
      <c r="V14" s="12">
        <v>25</v>
      </c>
      <c r="W14" s="84">
        <v>4.4000000000000004</v>
      </c>
      <c r="X14" s="12">
        <v>17.7</v>
      </c>
      <c r="Y14" s="12">
        <v>20.2</v>
      </c>
      <c r="Z14" s="12">
        <v>23.2</v>
      </c>
      <c r="AA14" s="12">
        <v>23</v>
      </c>
      <c r="AB14" s="12">
        <v>42</v>
      </c>
      <c r="AC14" s="12">
        <v>41.5</v>
      </c>
      <c r="AD14" s="95">
        <v>0</v>
      </c>
      <c r="AE14" s="4">
        <v>0</v>
      </c>
      <c r="AF14" s="4">
        <v>1</v>
      </c>
      <c r="AG14" s="4">
        <v>0</v>
      </c>
      <c r="AH14" s="42">
        <v>0</v>
      </c>
      <c r="AI14" s="82">
        <v>13.702999999999999</v>
      </c>
      <c r="AJ14" s="4">
        <v>-0.8</v>
      </c>
      <c r="AK14" s="4">
        <v>0</v>
      </c>
      <c r="AL14" s="98">
        <v>2E-3</v>
      </c>
      <c r="AM14" s="32">
        <v>79</v>
      </c>
    </row>
    <row r="15" spans="1:39" x14ac:dyDescent="0.2">
      <c r="A15" s="81">
        <v>1000</v>
      </c>
      <c r="B15" s="12">
        <v>48.9</v>
      </c>
      <c r="C15" s="83">
        <v>39.799999999999997</v>
      </c>
      <c r="D15" s="77">
        <v>48.7</v>
      </c>
      <c r="E15" s="77">
        <v>57.5</v>
      </c>
      <c r="F15" s="77">
        <v>65.8</v>
      </c>
      <c r="G15" s="77">
        <v>75</v>
      </c>
      <c r="H15" s="78">
        <v>55.3</v>
      </c>
      <c r="I15" s="12">
        <v>24</v>
      </c>
      <c r="J15" s="12">
        <v>26.5</v>
      </c>
      <c r="K15" s="12">
        <v>10</v>
      </c>
      <c r="L15" s="12">
        <v>16</v>
      </c>
      <c r="M15" s="12">
        <v>38</v>
      </c>
      <c r="N15" s="12">
        <v>13</v>
      </c>
      <c r="O15" s="12">
        <v>15</v>
      </c>
      <c r="P15" s="12">
        <v>23</v>
      </c>
      <c r="Q15" s="12">
        <v>33</v>
      </c>
      <c r="R15" s="12">
        <v>22</v>
      </c>
      <c r="S15" s="12">
        <v>5</v>
      </c>
      <c r="T15" s="12">
        <v>18</v>
      </c>
      <c r="U15" s="12">
        <v>12</v>
      </c>
      <c r="V15" s="12">
        <v>23</v>
      </c>
      <c r="W15" s="84">
        <v>4.2</v>
      </c>
      <c r="X15" s="12">
        <v>17.399999999999999</v>
      </c>
      <c r="Y15" s="12">
        <v>20</v>
      </c>
      <c r="Z15" s="12">
        <v>24</v>
      </c>
      <c r="AA15" s="12">
        <v>24</v>
      </c>
      <c r="AB15" s="12">
        <v>44</v>
      </c>
      <c r="AC15" s="12">
        <v>41</v>
      </c>
      <c r="AD15" s="95">
        <v>0</v>
      </c>
      <c r="AE15" s="4">
        <v>0</v>
      </c>
      <c r="AF15" s="4">
        <v>1</v>
      </c>
      <c r="AG15" s="4">
        <v>0</v>
      </c>
      <c r="AH15" s="42">
        <v>0</v>
      </c>
      <c r="AI15" s="82">
        <v>15.199</v>
      </c>
      <c r="AJ15" s="4">
        <v>0</v>
      </c>
      <c r="AK15" s="4">
        <v>0</v>
      </c>
      <c r="AL15" s="98">
        <v>2.3999999999999998E-3</v>
      </c>
      <c r="AM15" s="32">
        <v>79</v>
      </c>
    </row>
    <row r="16" spans="1:39" x14ac:dyDescent="0.2">
      <c r="A16" s="81">
        <v>1250</v>
      </c>
      <c r="B16" s="12">
        <v>46.7</v>
      </c>
      <c r="C16" s="83">
        <v>38.700000000000003</v>
      </c>
      <c r="D16" s="77">
        <v>47.6</v>
      </c>
      <c r="E16" s="77">
        <v>56.5</v>
      </c>
      <c r="F16" s="77">
        <v>65.099999999999994</v>
      </c>
      <c r="G16" s="77">
        <v>74.2</v>
      </c>
      <c r="H16" s="78">
        <v>53.3</v>
      </c>
      <c r="I16" s="12">
        <v>24</v>
      </c>
      <c r="J16" s="12">
        <v>27</v>
      </c>
      <c r="K16" s="12">
        <v>9</v>
      </c>
      <c r="L16" s="12">
        <v>14</v>
      </c>
      <c r="M16" s="12">
        <v>36</v>
      </c>
      <c r="N16" s="12">
        <v>12</v>
      </c>
      <c r="O16" s="12">
        <v>15</v>
      </c>
      <c r="P16" s="12">
        <v>21</v>
      </c>
      <c r="Q16" s="12">
        <v>32</v>
      </c>
      <c r="R16" s="12">
        <v>21</v>
      </c>
      <c r="S16" s="12">
        <v>5</v>
      </c>
      <c r="T16" s="12">
        <v>19</v>
      </c>
      <c r="U16" s="12">
        <v>11</v>
      </c>
      <c r="V16" s="12">
        <v>21</v>
      </c>
      <c r="W16" s="84">
        <v>3.8</v>
      </c>
      <c r="X16" s="12">
        <v>16.899999999999999</v>
      </c>
      <c r="Y16" s="12">
        <v>20.3</v>
      </c>
      <c r="Z16" s="12">
        <v>25.2</v>
      </c>
      <c r="AA16" s="12">
        <v>25</v>
      </c>
      <c r="AB16" s="12">
        <v>46</v>
      </c>
      <c r="AC16" s="12">
        <v>39.5</v>
      </c>
      <c r="AD16" s="95">
        <v>0</v>
      </c>
      <c r="AE16" s="4">
        <v>0</v>
      </c>
      <c r="AF16" s="4">
        <v>1</v>
      </c>
      <c r="AG16" s="4">
        <v>0</v>
      </c>
      <c r="AH16" s="42">
        <v>0</v>
      </c>
      <c r="AI16" s="82">
        <v>17.053999999999998</v>
      </c>
      <c r="AJ16" s="4">
        <v>0.6</v>
      </c>
      <c r="AK16" s="4">
        <v>0</v>
      </c>
      <c r="AL16" s="98">
        <v>3.0000000000000001E-3</v>
      </c>
      <c r="AM16" s="32">
        <v>79</v>
      </c>
    </row>
    <row r="17" spans="1:39" x14ac:dyDescent="0.2">
      <c r="A17" s="81">
        <v>1600</v>
      </c>
      <c r="B17" s="12">
        <v>45</v>
      </c>
      <c r="C17" s="83">
        <v>37.4</v>
      </c>
      <c r="D17" s="77">
        <v>45.8</v>
      </c>
      <c r="E17" s="77">
        <v>54.3</v>
      </c>
      <c r="F17" s="77">
        <v>63.4</v>
      </c>
      <c r="G17" s="77">
        <v>73.3</v>
      </c>
      <c r="H17" s="78">
        <v>51.4</v>
      </c>
      <c r="I17" s="12">
        <v>24</v>
      </c>
      <c r="J17" s="12">
        <v>27</v>
      </c>
      <c r="K17" s="12">
        <v>8</v>
      </c>
      <c r="L17" s="12">
        <v>12</v>
      </c>
      <c r="M17" s="12">
        <v>34</v>
      </c>
      <c r="N17" s="12">
        <v>12</v>
      </c>
      <c r="O17" s="12">
        <v>15</v>
      </c>
      <c r="P17" s="12">
        <v>19</v>
      </c>
      <c r="Q17" s="12">
        <v>30</v>
      </c>
      <c r="R17" s="12">
        <v>19</v>
      </c>
      <c r="S17" s="12">
        <v>4</v>
      </c>
      <c r="T17" s="12">
        <v>18</v>
      </c>
      <c r="U17" s="12">
        <v>10</v>
      </c>
      <c r="V17" s="12">
        <v>19</v>
      </c>
      <c r="W17" s="84">
        <v>2.6</v>
      </c>
      <c r="X17" s="12">
        <v>16.100000000000001</v>
      </c>
      <c r="Y17" s="12">
        <v>21.6</v>
      </c>
      <c r="Z17" s="12">
        <v>27.1</v>
      </c>
      <c r="AA17" s="12">
        <v>27</v>
      </c>
      <c r="AB17" s="12">
        <v>49</v>
      </c>
      <c r="AC17" s="12">
        <v>38</v>
      </c>
      <c r="AD17" s="95">
        <v>0</v>
      </c>
      <c r="AE17" s="4">
        <v>0</v>
      </c>
      <c r="AF17" s="4">
        <v>1</v>
      </c>
      <c r="AG17" s="4">
        <v>0</v>
      </c>
      <c r="AH17" s="42">
        <v>0</v>
      </c>
      <c r="AI17" s="82">
        <v>19.134</v>
      </c>
      <c r="AJ17" s="4">
        <v>1</v>
      </c>
      <c r="AK17" s="4">
        <v>-0.1</v>
      </c>
      <c r="AL17" s="98">
        <v>3.7000000000000002E-3</v>
      </c>
      <c r="AM17" s="32">
        <v>79</v>
      </c>
    </row>
    <row r="18" spans="1:39" x14ac:dyDescent="0.2">
      <c r="A18" s="81">
        <v>2000</v>
      </c>
      <c r="B18" s="12">
        <v>42.9</v>
      </c>
      <c r="C18" s="83">
        <v>36</v>
      </c>
      <c r="D18" s="77">
        <v>44</v>
      </c>
      <c r="E18" s="77">
        <v>52</v>
      </c>
      <c r="F18" s="77">
        <v>61</v>
      </c>
      <c r="G18" s="77">
        <v>71</v>
      </c>
      <c r="H18" s="78">
        <v>49.4</v>
      </c>
      <c r="I18" s="12">
        <v>24</v>
      </c>
      <c r="J18" s="12">
        <v>27</v>
      </c>
      <c r="K18" s="12">
        <v>7</v>
      </c>
      <c r="L18" s="12">
        <v>10</v>
      </c>
      <c r="M18" s="12">
        <v>32</v>
      </c>
      <c r="N18" s="12">
        <v>11</v>
      </c>
      <c r="O18" s="12">
        <v>15</v>
      </c>
      <c r="P18" s="12">
        <v>17</v>
      </c>
      <c r="Q18" s="12">
        <v>28</v>
      </c>
      <c r="R18" s="12">
        <v>18</v>
      </c>
      <c r="S18" s="12">
        <v>4</v>
      </c>
      <c r="T18" s="12">
        <v>18</v>
      </c>
      <c r="U18" s="12">
        <v>9</v>
      </c>
      <c r="V18" s="12">
        <v>17</v>
      </c>
      <c r="W18" s="84">
        <v>1</v>
      </c>
      <c r="X18" s="12">
        <v>16</v>
      </c>
      <c r="Y18" s="12">
        <v>24.5</v>
      </c>
      <c r="Z18" s="12">
        <v>30.3</v>
      </c>
      <c r="AA18" s="12">
        <v>30</v>
      </c>
      <c r="AB18" s="12">
        <v>53</v>
      </c>
      <c r="AC18" s="12">
        <v>38</v>
      </c>
      <c r="AD18" s="95">
        <v>0</v>
      </c>
      <c r="AE18" s="4">
        <v>0</v>
      </c>
      <c r="AF18" s="4">
        <v>1</v>
      </c>
      <c r="AG18" s="4">
        <v>0</v>
      </c>
      <c r="AH18" s="42">
        <v>0</v>
      </c>
      <c r="AI18" s="82">
        <v>21.469000000000001</v>
      </c>
      <c r="AJ18" s="4">
        <v>1.2</v>
      </c>
      <c r="AK18" s="4">
        <v>-0.2</v>
      </c>
      <c r="AL18" s="98">
        <v>3.7000000000000002E-3</v>
      </c>
      <c r="AM18" s="32">
        <v>79</v>
      </c>
    </row>
    <row r="19" spans="1:39" x14ac:dyDescent="0.2">
      <c r="A19" s="81">
        <v>2500</v>
      </c>
      <c r="B19" s="12">
        <v>40.700000000000003</v>
      </c>
      <c r="C19" s="83">
        <v>31.6</v>
      </c>
      <c r="D19" s="77">
        <v>40.799999999999997</v>
      </c>
      <c r="E19" s="77">
        <v>50</v>
      </c>
      <c r="F19" s="77">
        <v>58.6</v>
      </c>
      <c r="G19" s="77">
        <v>68.400000000000006</v>
      </c>
      <c r="H19" s="78">
        <v>47.3</v>
      </c>
      <c r="I19" s="12">
        <v>23</v>
      </c>
      <c r="J19" s="12">
        <v>28.5</v>
      </c>
      <c r="K19" s="12">
        <v>6</v>
      </c>
      <c r="L19" s="12">
        <v>8</v>
      </c>
      <c r="M19" s="12">
        <v>29</v>
      </c>
      <c r="N19" s="12">
        <v>10</v>
      </c>
      <c r="O19" s="12">
        <v>15</v>
      </c>
      <c r="P19" s="12">
        <v>14</v>
      </c>
      <c r="Q19" s="12">
        <v>26</v>
      </c>
      <c r="R19" s="12">
        <v>16</v>
      </c>
      <c r="S19" s="12">
        <v>3</v>
      </c>
      <c r="T19" s="12">
        <v>18</v>
      </c>
      <c r="U19" s="12">
        <v>8</v>
      </c>
      <c r="V19" s="12">
        <v>14</v>
      </c>
      <c r="W19" s="84">
        <v>-1.2</v>
      </c>
      <c r="X19" s="12">
        <v>16.8</v>
      </c>
      <c r="Y19" s="12">
        <v>29.8</v>
      </c>
      <c r="Z19" s="12">
        <v>38.299999999999997</v>
      </c>
      <c r="AA19" s="12">
        <v>38</v>
      </c>
      <c r="AB19" s="12">
        <v>65</v>
      </c>
      <c r="AC19" s="12">
        <v>40.5</v>
      </c>
      <c r="AD19" s="95">
        <v>0</v>
      </c>
      <c r="AE19" s="4">
        <v>0</v>
      </c>
      <c r="AF19" s="4">
        <v>1</v>
      </c>
      <c r="AG19" s="4">
        <v>0</v>
      </c>
      <c r="AH19" s="42">
        <v>0</v>
      </c>
      <c r="AI19" s="82">
        <v>24.088999999999999</v>
      </c>
      <c r="AJ19" s="4">
        <v>1.3</v>
      </c>
      <c r="AK19" s="4">
        <v>-0.3</v>
      </c>
      <c r="AL19" s="98">
        <v>3.3999999999999998E-3</v>
      </c>
      <c r="AM19" s="32">
        <v>79</v>
      </c>
    </row>
    <row r="20" spans="1:39" x14ac:dyDescent="0.2">
      <c r="A20" s="81">
        <v>3150</v>
      </c>
      <c r="B20" s="12">
        <v>37.9</v>
      </c>
      <c r="C20" s="83">
        <v>31.6</v>
      </c>
      <c r="D20" s="77">
        <v>40.200000000000003</v>
      </c>
      <c r="E20" s="77">
        <v>48.8</v>
      </c>
      <c r="F20" s="77">
        <v>56.8</v>
      </c>
      <c r="G20" s="77">
        <v>66.8</v>
      </c>
      <c r="H20" s="78">
        <v>45.3</v>
      </c>
      <c r="I20" s="12">
        <v>22.5</v>
      </c>
      <c r="J20" s="12">
        <v>30</v>
      </c>
      <c r="K20" s="12">
        <v>5</v>
      </c>
      <c r="L20" s="12">
        <v>6</v>
      </c>
      <c r="M20" s="12">
        <v>26</v>
      </c>
      <c r="N20" s="12">
        <v>10</v>
      </c>
      <c r="O20" s="12">
        <v>15</v>
      </c>
      <c r="P20" s="12">
        <v>11</v>
      </c>
      <c r="Q20" s="12">
        <v>23</v>
      </c>
      <c r="R20" s="12">
        <v>15</v>
      </c>
      <c r="S20" s="12">
        <v>2</v>
      </c>
      <c r="T20" s="12">
        <v>19</v>
      </c>
      <c r="U20" s="12">
        <v>7</v>
      </c>
      <c r="V20" s="12">
        <v>11</v>
      </c>
      <c r="W20" s="84">
        <v>-3.5</v>
      </c>
      <c r="X20" s="12">
        <v>19</v>
      </c>
      <c r="Y20" s="12">
        <v>37</v>
      </c>
      <c r="Z20" s="12">
        <v>46.5</v>
      </c>
      <c r="AA20" s="12">
        <v>46</v>
      </c>
      <c r="AB20" s="12">
        <v>76</v>
      </c>
      <c r="AC20" s="12">
        <v>43</v>
      </c>
      <c r="AD20" s="95">
        <v>0</v>
      </c>
      <c r="AE20" s="4">
        <v>0</v>
      </c>
      <c r="AF20" s="4">
        <v>1</v>
      </c>
      <c r="AG20" s="4">
        <v>0</v>
      </c>
      <c r="AH20" s="42">
        <v>0</v>
      </c>
      <c r="AI20" s="82">
        <v>27.027999999999999</v>
      </c>
      <c r="AJ20" s="4">
        <v>1.2</v>
      </c>
      <c r="AK20" s="4">
        <v>-0.5</v>
      </c>
      <c r="AL20" s="98">
        <v>3.3999999999999998E-3</v>
      </c>
      <c r="AM20" s="32">
        <v>79</v>
      </c>
    </row>
    <row r="21" spans="1:39" x14ac:dyDescent="0.2">
      <c r="A21" s="81">
        <v>4000</v>
      </c>
      <c r="B21" s="12">
        <v>35.9</v>
      </c>
      <c r="C21" s="83">
        <v>31.5</v>
      </c>
      <c r="D21" s="77">
        <v>39</v>
      </c>
      <c r="E21" s="77">
        <v>46.4</v>
      </c>
      <c r="F21" s="77">
        <v>55.1</v>
      </c>
      <c r="G21" s="77">
        <v>64.099999999999994</v>
      </c>
      <c r="H21" s="78">
        <v>43.4</v>
      </c>
      <c r="I21" s="12">
        <v>22</v>
      </c>
      <c r="J21" s="12">
        <v>31.5</v>
      </c>
      <c r="K21" s="12">
        <v>4</v>
      </c>
      <c r="L21" s="12">
        <v>4</v>
      </c>
      <c r="M21" s="12">
        <v>23</v>
      </c>
      <c r="N21" s="12">
        <v>9</v>
      </c>
      <c r="O21" s="12">
        <v>15</v>
      </c>
      <c r="P21" s="12">
        <v>8</v>
      </c>
      <c r="Q21" s="12">
        <v>22</v>
      </c>
      <c r="R21" s="12">
        <v>14</v>
      </c>
      <c r="S21" s="12">
        <v>1</v>
      </c>
      <c r="T21" s="12">
        <v>19</v>
      </c>
      <c r="U21" s="12">
        <v>7</v>
      </c>
      <c r="V21" s="12">
        <v>8</v>
      </c>
      <c r="W21" s="84">
        <v>-3.9</v>
      </c>
      <c r="X21" s="12">
        <v>24.9</v>
      </c>
      <c r="Y21" s="12">
        <v>46.4</v>
      </c>
      <c r="Z21" s="12">
        <v>57.5</v>
      </c>
      <c r="AA21" s="12">
        <v>57</v>
      </c>
      <c r="AB21" s="12">
        <v>82</v>
      </c>
      <c r="AC21" s="12">
        <v>44</v>
      </c>
      <c r="AD21" s="95">
        <v>0</v>
      </c>
      <c r="AE21" s="4">
        <v>0</v>
      </c>
      <c r="AF21" s="4">
        <v>1</v>
      </c>
      <c r="AG21" s="4">
        <v>0</v>
      </c>
      <c r="AH21" s="42">
        <v>0</v>
      </c>
      <c r="AI21" s="82">
        <v>30.326000000000001</v>
      </c>
      <c r="AJ21" s="4">
        <v>1</v>
      </c>
      <c r="AK21" s="4">
        <v>-0.8</v>
      </c>
      <c r="AL21" s="98">
        <v>2.3999999999999998E-3</v>
      </c>
      <c r="AM21" s="32">
        <v>79</v>
      </c>
    </row>
    <row r="22" spans="1:39" x14ac:dyDescent="0.2">
      <c r="A22" s="81">
        <v>5000</v>
      </c>
      <c r="B22" s="12">
        <v>33.9</v>
      </c>
      <c r="C22" s="83">
        <v>29.8</v>
      </c>
      <c r="D22" s="77">
        <v>35.9</v>
      </c>
      <c r="E22" s="77">
        <v>42.1</v>
      </c>
      <c r="F22" s="77">
        <v>49</v>
      </c>
      <c r="G22" s="77">
        <v>58.9</v>
      </c>
      <c r="H22" s="78">
        <v>41.3</v>
      </c>
      <c r="I22" s="12">
        <v>22</v>
      </c>
      <c r="J22" s="12">
        <v>35</v>
      </c>
      <c r="K22" s="12">
        <v>4</v>
      </c>
      <c r="L22" s="12">
        <v>4</v>
      </c>
      <c r="M22" s="12">
        <v>20</v>
      </c>
      <c r="N22" s="12">
        <v>8</v>
      </c>
      <c r="O22" s="12">
        <v>15</v>
      </c>
      <c r="P22" s="12">
        <v>5</v>
      </c>
      <c r="Q22" s="12">
        <v>20</v>
      </c>
      <c r="R22" s="12">
        <v>12</v>
      </c>
      <c r="S22" s="12">
        <v>0</v>
      </c>
      <c r="T22" s="12">
        <v>19</v>
      </c>
      <c r="U22" s="12">
        <v>6</v>
      </c>
      <c r="V22" s="12">
        <v>5</v>
      </c>
      <c r="W22" s="84">
        <v>-1.1000000000000001</v>
      </c>
      <c r="X22" s="12">
        <v>30.4</v>
      </c>
      <c r="Y22" s="12">
        <v>52.5</v>
      </c>
      <c r="Z22" s="12">
        <v>63.4</v>
      </c>
      <c r="AA22" s="12">
        <v>63</v>
      </c>
      <c r="AB22" s="12">
        <v>85</v>
      </c>
      <c r="AC22" s="12">
        <v>44.5</v>
      </c>
      <c r="AD22" s="95">
        <v>0</v>
      </c>
      <c r="AE22" s="4">
        <v>0</v>
      </c>
      <c r="AF22" s="4">
        <v>1</v>
      </c>
      <c r="AG22" s="4">
        <v>0</v>
      </c>
      <c r="AH22" s="42">
        <v>0</v>
      </c>
      <c r="AI22" s="82">
        <v>34.026000000000003</v>
      </c>
      <c r="AJ22" s="4">
        <v>0.5</v>
      </c>
      <c r="AK22" s="4">
        <v>-1.3</v>
      </c>
      <c r="AL22" s="98">
        <v>2E-3</v>
      </c>
      <c r="AM22" s="32">
        <v>79</v>
      </c>
    </row>
    <row r="23" spans="1:39" x14ac:dyDescent="0.2">
      <c r="A23" s="81">
        <v>6300</v>
      </c>
      <c r="B23" s="12">
        <v>32.700000000000003</v>
      </c>
      <c r="C23" s="83">
        <v>29.2</v>
      </c>
      <c r="D23" s="77">
        <v>34.200000000000003</v>
      </c>
      <c r="E23" s="77">
        <v>39.299999999999997</v>
      </c>
      <c r="F23" s="77">
        <v>45.5</v>
      </c>
      <c r="G23" s="77">
        <v>55.1</v>
      </c>
      <c r="H23" s="78">
        <v>39.299999999999997</v>
      </c>
      <c r="I23" s="12">
        <v>22</v>
      </c>
      <c r="J23" s="12">
        <v>40</v>
      </c>
      <c r="K23" s="12">
        <v>4</v>
      </c>
      <c r="L23" s="12">
        <v>4</v>
      </c>
      <c r="M23" s="12">
        <v>16</v>
      </c>
      <c r="N23" s="12">
        <v>8</v>
      </c>
      <c r="O23" s="12">
        <v>15</v>
      </c>
      <c r="P23" s="12">
        <v>0</v>
      </c>
      <c r="Q23" s="12">
        <v>19</v>
      </c>
      <c r="R23" s="12">
        <v>10</v>
      </c>
      <c r="S23" s="12">
        <v>0</v>
      </c>
      <c r="T23" s="12">
        <v>19</v>
      </c>
      <c r="U23" s="12">
        <v>6</v>
      </c>
      <c r="V23" s="12">
        <v>0</v>
      </c>
      <c r="W23" s="84">
        <v>6.5</v>
      </c>
      <c r="X23" s="12">
        <v>30.4</v>
      </c>
      <c r="Y23" s="12">
        <v>52.5</v>
      </c>
      <c r="Z23" s="12">
        <v>63.4</v>
      </c>
      <c r="AA23" s="12">
        <v>72</v>
      </c>
      <c r="AB23" s="12">
        <v>91</v>
      </c>
      <c r="AC23" s="12">
        <v>44.5</v>
      </c>
      <c r="AD23" s="95">
        <v>0</v>
      </c>
      <c r="AE23" s="4">
        <v>0</v>
      </c>
      <c r="AF23" s="4">
        <v>1</v>
      </c>
      <c r="AG23" s="4">
        <v>0</v>
      </c>
      <c r="AH23" s="42">
        <v>0</v>
      </c>
      <c r="AI23" s="82">
        <v>38.177999999999997</v>
      </c>
      <c r="AJ23" s="4">
        <v>-0.1</v>
      </c>
      <c r="AK23" s="4">
        <v>-2</v>
      </c>
      <c r="AL23" s="98">
        <v>0</v>
      </c>
      <c r="AM23" s="32">
        <v>79</v>
      </c>
    </row>
    <row r="24" spans="1:39" x14ac:dyDescent="0.2">
      <c r="A24" s="81">
        <v>8000</v>
      </c>
      <c r="B24" s="12">
        <v>31</v>
      </c>
      <c r="C24" s="83">
        <v>29.9</v>
      </c>
      <c r="D24" s="77">
        <v>33.799999999999997</v>
      </c>
      <c r="E24" s="77">
        <v>37.700000000000003</v>
      </c>
      <c r="F24" s="77">
        <v>44.1</v>
      </c>
      <c r="G24" s="77">
        <v>53.4</v>
      </c>
      <c r="H24" s="78">
        <v>37.4</v>
      </c>
      <c r="I24" s="12">
        <v>20</v>
      </c>
      <c r="J24" s="12">
        <v>43</v>
      </c>
      <c r="K24" s="12">
        <v>4</v>
      </c>
      <c r="L24" s="12">
        <v>4</v>
      </c>
      <c r="M24" s="12">
        <v>11</v>
      </c>
      <c r="N24" s="12">
        <v>8</v>
      </c>
      <c r="O24" s="12">
        <v>15</v>
      </c>
      <c r="P24" s="12">
        <v>0</v>
      </c>
      <c r="Q24" s="12">
        <v>17</v>
      </c>
      <c r="R24" s="12">
        <v>9</v>
      </c>
      <c r="S24" s="12">
        <v>0</v>
      </c>
      <c r="T24" s="12">
        <v>21</v>
      </c>
      <c r="U24" s="12">
        <v>6</v>
      </c>
      <c r="V24" s="12">
        <v>0</v>
      </c>
      <c r="W24" s="84">
        <v>15.3</v>
      </c>
      <c r="X24" s="12">
        <v>30.4</v>
      </c>
      <c r="Y24" s="12">
        <v>52.5</v>
      </c>
      <c r="Z24" s="12">
        <v>63.4</v>
      </c>
      <c r="AA24" s="12">
        <v>76</v>
      </c>
      <c r="AB24" s="12">
        <v>95</v>
      </c>
      <c r="AC24" s="12">
        <v>44.5</v>
      </c>
      <c r="AD24" s="95">
        <v>0</v>
      </c>
      <c r="AE24" s="4">
        <v>0</v>
      </c>
      <c r="AF24" s="4">
        <v>1</v>
      </c>
      <c r="AG24" s="4">
        <v>0</v>
      </c>
      <c r="AH24" s="42">
        <v>0</v>
      </c>
      <c r="AI24" s="82">
        <v>42.837000000000003</v>
      </c>
      <c r="AJ24" s="4">
        <v>-1.1000000000000001</v>
      </c>
      <c r="AK24" s="4">
        <v>-3</v>
      </c>
      <c r="AL24" s="98">
        <v>0</v>
      </c>
      <c r="AM24" s="32">
        <v>79</v>
      </c>
    </row>
    <row r="25" spans="1:39" x14ac:dyDescent="0.2">
      <c r="A25" s="91">
        <v>10000</v>
      </c>
      <c r="B25" s="92">
        <v>29.4</v>
      </c>
      <c r="C25" s="83">
        <f t="shared" ref="C25:H25" si="1">C24-2</f>
        <v>27.9</v>
      </c>
      <c r="D25" s="77">
        <f t="shared" si="1"/>
        <v>31.799999999999997</v>
      </c>
      <c r="E25" s="77">
        <f t="shared" si="1"/>
        <v>35.700000000000003</v>
      </c>
      <c r="F25" s="77">
        <f t="shared" si="1"/>
        <v>42.1</v>
      </c>
      <c r="G25" s="77">
        <f t="shared" si="1"/>
        <v>51.4</v>
      </c>
      <c r="H25" s="78">
        <f t="shared" si="1"/>
        <v>35.4</v>
      </c>
      <c r="I25" s="92">
        <v>20</v>
      </c>
      <c r="J25" s="92">
        <v>38</v>
      </c>
      <c r="K25" s="92">
        <v>4</v>
      </c>
      <c r="L25" s="92">
        <v>4</v>
      </c>
      <c r="M25" s="92">
        <v>11</v>
      </c>
      <c r="N25" s="92">
        <v>8</v>
      </c>
      <c r="O25" s="92">
        <v>15</v>
      </c>
      <c r="P25" s="92">
        <v>0</v>
      </c>
      <c r="Q25" s="92">
        <v>16</v>
      </c>
      <c r="R25" s="92">
        <v>8</v>
      </c>
      <c r="S25" s="92">
        <v>0</v>
      </c>
      <c r="T25" s="92">
        <v>21</v>
      </c>
      <c r="U25" s="92">
        <v>6</v>
      </c>
      <c r="V25" s="92">
        <v>0</v>
      </c>
      <c r="W25" s="93">
        <v>16.399999999999999</v>
      </c>
      <c r="X25" s="92">
        <v>30.4</v>
      </c>
      <c r="Y25" s="92">
        <v>52.5</v>
      </c>
      <c r="Z25" s="92">
        <v>63.4</v>
      </c>
      <c r="AA25" s="92">
        <v>72</v>
      </c>
      <c r="AB25" s="92">
        <v>91</v>
      </c>
      <c r="AC25" s="92">
        <v>44.5</v>
      </c>
      <c r="AD25" s="95">
        <v>0</v>
      </c>
      <c r="AE25" s="4">
        <v>0</v>
      </c>
      <c r="AF25" s="4">
        <v>1</v>
      </c>
      <c r="AG25" s="4">
        <v>0</v>
      </c>
      <c r="AH25" s="42">
        <v>0</v>
      </c>
      <c r="AI25" s="86">
        <v>48.064</v>
      </c>
      <c r="AJ25" s="74">
        <v>-2.5</v>
      </c>
      <c r="AK25" s="74">
        <v>-4.4000000000000004</v>
      </c>
      <c r="AL25" s="99">
        <v>0</v>
      </c>
      <c r="AM25" s="32">
        <v>79</v>
      </c>
    </row>
    <row r="26" spans="1:39" x14ac:dyDescent="0.2">
      <c r="A26" t="s">
        <v>96</v>
      </c>
      <c r="B26" s="103">
        <v>250</v>
      </c>
      <c r="C26" s="104">
        <v>1</v>
      </c>
      <c r="D26" s="105">
        <v>1</v>
      </c>
      <c r="E26" s="105">
        <v>1</v>
      </c>
      <c r="F26" s="105">
        <v>1</v>
      </c>
      <c r="G26" s="105">
        <v>1</v>
      </c>
      <c r="H26" s="106">
        <v>1</v>
      </c>
      <c r="AM26" s="32">
        <v>500</v>
      </c>
    </row>
    <row r="27" spans="1:39" ht="15.75" x14ac:dyDescent="0.25">
      <c r="C27" s="73"/>
      <c r="D27" s="73"/>
      <c r="E27" s="73"/>
      <c r="F27" s="73"/>
      <c r="G27" s="73"/>
      <c r="H27" s="73"/>
    </row>
    <row r="28" spans="1:39" ht="15.75" x14ac:dyDescent="0.25">
      <c r="C28" s="73"/>
      <c r="D28" s="73"/>
      <c r="E28" s="73"/>
      <c r="F28" s="73"/>
      <c r="G28" s="73"/>
      <c r="H28" s="73"/>
    </row>
  </sheetData>
  <mergeCells count="1">
    <mergeCell ref="AD1:AH1"/>
  </mergeCells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43"/>
  <sheetViews>
    <sheetView workbookViewId="0">
      <selection activeCell="O14" sqref="O14"/>
    </sheetView>
  </sheetViews>
  <sheetFormatPr defaultRowHeight="12.75" x14ac:dyDescent="0.2"/>
  <sheetData>
    <row r="1" spans="13:20" ht="12.75" customHeight="1" x14ac:dyDescent="0.2">
      <c r="M1" s="225" t="s">
        <v>104</v>
      </c>
      <c r="N1" s="226"/>
      <c r="O1" s="227"/>
      <c r="P1" s="231" t="s">
        <v>100</v>
      </c>
      <c r="Q1" s="227"/>
      <c r="R1" s="231" t="s">
        <v>101</v>
      </c>
      <c r="S1" s="227"/>
    </row>
    <row r="2" spans="13:20" ht="13.5" thickBot="1" x14ac:dyDescent="0.25">
      <c r="M2" s="228"/>
      <c r="N2" s="229"/>
      <c r="O2" s="230"/>
      <c r="P2" s="228"/>
      <c r="Q2" s="230"/>
      <c r="R2" s="228"/>
      <c r="S2" s="230"/>
    </row>
    <row r="3" spans="13:20" ht="12.75" customHeight="1" x14ac:dyDescent="0.2">
      <c r="M3" s="112" t="s">
        <v>97</v>
      </c>
      <c r="N3" s="113"/>
      <c r="O3" s="114"/>
      <c r="P3" s="231" t="s">
        <v>102</v>
      </c>
      <c r="Q3" s="227"/>
      <c r="R3" s="231" t="s">
        <v>103</v>
      </c>
      <c r="S3" s="227"/>
    </row>
    <row r="4" spans="13:20" x14ac:dyDescent="0.2">
      <c r="M4" s="115" t="s">
        <v>98</v>
      </c>
      <c r="N4" s="116"/>
      <c r="O4" s="117"/>
      <c r="P4" s="232"/>
      <c r="Q4" s="233"/>
      <c r="R4" s="232"/>
      <c r="S4" s="233"/>
    </row>
    <row r="5" spans="13:20" ht="13.5" thickBot="1" x14ac:dyDescent="0.25">
      <c r="M5" s="118" t="s">
        <v>99</v>
      </c>
      <c r="N5" s="119"/>
      <c r="O5" s="120"/>
      <c r="P5" s="228"/>
      <c r="Q5" s="230"/>
      <c r="R5" s="228"/>
      <c r="S5" s="230"/>
    </row>
    <row r="6" spans="13:20" ht="13.5" thickBot="1" x14ac:dyDescent="0.25"/>
    <row r="7" spans="13:20" ht="13.5" thickBot="1" x14ac:dyDescent="0.25">
      <c r="M7" s="248" t="s">
        <v>105</v>
      </c>
      <c r="N7" s="249"/>
      <c r="O7" s="249"/>
      <c r="P7" s="249"/>
      <c r="Q7" s="249"/>
      <c r="R7" s="249"/>
      <c r="S7" s="249"/>
      <c r="T7" s="250"/>
    </row>
    <row r="8" spans="13:20" x14ac:dyDescent="0.2">
      <c r="M8" s="121" t="s">
        <v>113</v>
      </c>
      <c r="N8" s="124" t="s">
        <v>120</v>
      </c>
      <c r="O8" s="113"/>
      <c r="P8" s="113"/>
      <c r="Q8" s="113"/>
      <c r="R8" s="113"/>
      <c r="S8" s="113"/>
      <c r="T8" s="114"/>
    </row>
    <row r="9" spans="13:20" x14ac:dyDescent="0.2">
      <c r="M9" s="122" t="s">
        <v>114</v>
      </c>
      <c r="N9" s="125" t="s">
        <v>121</v>
      </c>
      <c r="O9" s="116"/>
      <c r="P9" s="116"/>
      <c r="Q9" s="116"/>
      <c r="R9" s="116"/>
      <c r="S9" s="116"/>
      <c r="T9" s="117"/>
    </row>
    <row r="10" spans="13:20" x14ac:dyDescent="0.2">
      <c r="M10" s="122">
        <v>40</v>
      </c>
      <c r="N10" s="125" t="s">
        <v>122</v>
      </c>
      <c r="O10" s="116"/>
      <c r="P10" s="116"/>
      <c r="Q10" s="116"/>
      <c r="R10" s="116"/>
      <c r="S10" s="116"/>
      <c r="T10" s="117"/>
    </row>
    <row r="11" spans="13:20" x14ac:dyDescent="0.2">
      <c r="M11" s="122" t="s">
        <v>106</v>
      </c>
      <c r="N11" s="125" t="s">
        <v>123</v>
      </c>
      <c r="O11" s="116"/>
      <c r="P11" s="116"/>
      <c r="Q11" s="116"/>
      <c r="R11" s="116"/>
      <c r="S11" s="116"/>
      <c r="T11" s="117"/>
    </row>
    <row r="12" spans="13:20" x14ac:dyDescent="0.2">
      <c r="M12" s="122" t="s">
        <v>107</v>
      </c>
      <c r="N12" s="125" t="s">
        <v>124</v>
      </c>
      <c r="O12" s="116"/>
      <c r="P12" s="116"/>
      <c r="Q12" s="116"/>
      <c r="R12" s="116"/>
      <c r="S12" s="116"/>
      <c r="T12" s="117"/>
    </row>
    <row r="13" spans="13:20" x14ac:dyDescent="0.2">
      <c r="M13" s="122" t="s">
        <v>108</v>
      </c>
      <c r="N13" s="125" t="s">
        <v>125</v>
      </c>
      <c r="O13" s="116"/>
      <c r="P13" s="116"/>
      <c r="Q13" s="116"/>
      <c r="R13" s="116"/>
      <c r="S13" s="116"/>
      <c r="T13" s="117"/>
    </row>
    <row r="14" spans="13:20" x14ac:dyDescent="0.2">
      <c r="M14" s="122" t="s">
        <v>109</v>
      </c>
      <c r="N14" s="125" t="s">
        <v>126</v>
      </c>
      <c r="O14" s="116"/>
      <c r="P14" s="116"/>
      <c r="Q14" s="116"/>
      <c r="R14" s="116"/>
      <c r="S14" s="116"/>
      <c r="T14" s="117"/>
    </row>
    <row r="15" spans="13:20" x14ac:dyDescent="0.2">
      <c r="M15" s="122" t="s">
        <v>110</v>
      </c>
      <c r="N15" s="125" t="s">
        <v>127</v>
      </c>
      <c r="O15" s="116"/>
      <c r="P15" s="116"/>
      <c r="Q15" s="116"/>
      <c r="R15" s="116"/>
      <c r="S15" s="116"/>
      <c r="T15" s="117"/>
    </row>
    <row r="16" spans="13:20" x14ac:dyDescent="0.2">
      <c r="M16" s="122" t="s">
        <v>111</v>
      </c>
      <c r="N16" s="125" t="s">
        <v>128</v>
      </c>
      <c r="O16" s="116"/>
      <c r="P16" s="116"/>
      <c r="Q16" s="116"/>
      <c r="R16" s="116"/>
      <c r="S16" s="116"/>
      <c r="T16" s="117"/>
    </row>
    <row r="17" spans="12:21" x14ac:dyDescent="0.2">
      <c r="M17" s="122" t="s">
        <v>112</v>
      </c>
      <c r="N17" s="125" t="s">
        <v>129</v>
      </c>
      <c r="O17" s="116"/>
      <c r="P17" s="116"/>
      <c r="Q17" s="116"/>
      <c r="R17" s="116"/>
      <c r="S17" s="116"/>
      <c r="T17" s="117"/>
    </row>
    <row r="18" spans="12:21" x14ac:dyDescent="0.2">
      <c r="M18" s="122" t="s">
        <v>115</v>
      </c>
      <c r="N18" s="125" t="s">
        <v>130</v>
      </c>
      <c r="O18" s="116"/>
      <c r="P18" s="116"/>
      <c r="Q18" s="116"/>
      <c r="R18" s="116"/>
      <c r="S18" s="116"/>
      <c r="T18" s="117"/>
    </row>
    <row r="19" spans="12:21" x14ac:dyDescent="0.2">
      <c r="M19" s="122" t="s">
        <v>116</v>
      </c>
      <c r="N19" s="125" t="s">
        <v>131</v>
      </c>
      <c r="O19" s="116"/>
      <c r="P19" s="116"/>
      <c r="Q19" s="116"/>
      <c r="R19" s="116"/>
      <c r="S19" s="116"/>
      <c r="T19" s="117"/>
    </row>
    <row r="20" spans="12:21" x14ac:dyDescent="0.2">
      <c r="M20" s="122" t="s">
        <v>117</v>
      </c>
      <c r="N20" s="125" t="s">
        <v>132</v>
      </c>
      <c r="O20" s="116"/>
      <c r="P20" s="116"/>
      <c r="Q20" s="116"/>
      <c r="R20" s="116"/>
      <c r="S20" s="116"/>
      <c r="T20" s="117"/>
    </row>
    <row r="21" spans="12:21" x14ac:dyDescent="0.2">
      <c r="M21" s="122" t="s">
        <v>118</v>
      </c>
      <c r="N21" s="125" t="s">
        <v>133</v>
      </c>
      <c r="O21" s="116"/>
      <c r="P21" s="116"/>
      <c r="Q21" s="116"/>
      <c r="R21" s="116"/>
      <c r="S21" s="116"/>
      <c r="T21" s="117"/>
    </row>
    <row r="22" spans="12:21" ht="13.5" thickBot="1" x14ac:dyDescent="0.25">
      <c r="M22" s="123" t="s">
        <v>119</v>
      </c>
      <c r="N22" s="126" t="s">
        <v>134</v>
      </c>
      <c r="O22" s="119"/>
      <c r="P22" s="119"/>
      <c r="Q22" s="119"/>
      <c r="R22" s="119"/>
      <c r="S22" s="119"/>
      <c r="T22" s="120"/>
    </row>
    <row r="23" spans="12:21" x14ac:dyDescent="0.2">
      <c r="L23" s="111"/>
      <c r="M23" s="208" t="s">
        <v>182</v>
      </c>
    </row>
    <row r="24" spans="12:21" x14ac:dyDescent="0.2">
      <c r="M24" s="234" t="s">
        <v>179</v>
      </c>
      <c r="N24" s="235"/>
      <c r="O24" s="235"/>
      <c r="P24" s="235"/>
      <c r="Q24" s="235"/>
      <c r="R24" s="235"/>
      <c r="S24" s="235"/>
      <c r="T24" s="236"/>
      <c r="U24" s="207"/>
    </row>
    <row r="25" spans="12:21" x14ac:dyDescent="0.2">
      <c r="M25" s="237"/>
      <c r="N25" s="238"/>
      <c r="O25" s="238"/>
      <c r="P25" s="238"/>
      <c r="Q25" s="238"/>
      <c r="R25" s="238"/>
      <c r="S25" s="238"/>
      <c r="T25" s="239"/>
      <c r="U25" s="207"/>
    </row>
    <row r="26" spans="12:21" x14ac:dyDescent="0.2">
      <c r="M26" s="244" t="s">
        <v>181</v>
      </c>
      <c r="N26" s="235"/>
      <c r="O26" s="235"/>
      <c r="P26" s="235"/>
      <c r="Q26" s="235"/>
      <c r="R26" s="235"/>
      <c r="S26" s="235"/>
      <c r="T26" s="236"/>
      <c r="U26" s="207"/>
    </row>
    <row r="27" spans="12:21" x14ac:dyDescent="0.2">
      <c r="M27" s="245"/>
      <c r="N27" s="246"/>
      <c r="O27" s="246"/>
      <c r="P27" s="246"/>
      <c r="Q27" s="246"/>
      <c r="R27" s="246"/>
      <c r="S27" s="246"/>
      <c r="T27" s="247"/>
      <c r="U27" s="207"/>
    </row>
    <row r="28" spans="12:21" x14ac:dyDescent="0.2">
      <c r="M28" s="237"/>
      <c r="N28" s="238"/>
      <c r="O28" s="238"/>
      <c r="P28" s="238"/>
      <c r="Q28" s="238"/>
      <c r="R28" s="238"/>
      <c r="S28" s="238"/>
      <c r="T28" s="239"/>
      <c r="U28" s="207"/>
    </row>
    <row r="29" spans="12:21" x14ac:dyDescent="0.2">
      <c r="M29" s="234" t="s">
        <v>180</v>
      </c>
      <c r="N29" s="235"/>
      <c r="O29" s="235"/>
      <c r="P29" s="235"/>
      <c r="Q29" s="235"/>
      <c r="R29" s="235"/>
      <c r="S29" s="235"/>
      <c r="T29" s="236"/>
      <c r="U29" s="207"/>
    </row>
    <row r="30" spans="12:21" x14ac:dyDescent="0.2">
      <c r="L30" s="110"/>
      <c r="M30" s="237"/>
      <c r="N30" s="238"/>
      <c r="O30" s="238"/>
      <c r="P30" s="238"/>
      <c r="Q30" s="238"/>
      <c r="R30" s="238"/>
      <c r="S30" s="238"/>
      <c r="T30" s="239"/>
    </row>
    <row r="31" spans="12:21" x14ac:dyDescent="0.2">
      <c r="M31" s="234" t="s">
        <v>183</v>
      </c>
      <c r="N31" s="235"/>
      <c r="O31" s="235"/>
      <c r="P31" s="235"/>
      <c r="Q31" s="235"/>
      <c r="R31" s="235"/>
      <c r="S31" s="235"/>
      <c r="T31" s="236"/>
    </row>
    <row r="32" spans="12:21" x14ac:dyDescent="0.2">
      <c r="M32" s="237"/>
      <c r="N32" s="238"/>
      <c r="O32" s="238"/>
      <c r="P32" s="238"/>
      <c r="Q32" s="238"/>
      <c r="R32" s="238"/>
      <c r="S32" s="238"/>
      <c r="T32" s="239"/>
    </row>
    <row r="33" spans="1:16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ht="13.5" thickBot="1" x14ac:dyDescent="0.25"/>
    <row r="35" spans="1:16" ht="12.75" customHeight="1" x14ac:dyDescent="0.2">
      <c r="A35" s="240" t="s">
        <v>176</v>
      </c>
      <c r="B35" s="241"/>
      <c r="C35" s="241"/>
      <c r="D35" s="241"/>
      <c r="E35" s="242"/>
      <c r="F35" s="242"/>
      <c r="G35" s="241"/>
      <c r="H35" s="241"/>
      <c r="I35" s="241"/>
      <c r="J35" s="241"/>
      <c r="K35" s="241"/>
      <c r="L35" s="241"/>
      <c r="M35" s="241"/>
      <c r="N35" s="241"/>
      <c r="O35" s="241"/>
      <c r="P35" s="243"/>
    </row>
    <row r="36" spans="1:16" ht="12.75" customHeight="1" x14ac:dyDescent="0.2">
      <c r="A36" s="168" t="s">
        <v>173</v>
      </c>
      <c r="B36" s="151"/>
      <c r="C36" s="151"/>
      <c r="D36" s="151"/>
      <c r="E36" s="131" t="s">
        <v>142</v>
      </c>
      <c r="F36" s="130" t="s">
        <v>143</v>
      </c>
      <c r="G36" s="200" t="s">
        <v>177</v>
      </c>
      <c r="H36" s="200"/>
      <c r="I36" s="200"/>
      <c r="J36" s="200"/>
      <c r="K36" s="200"/>
      <c r="L36" s="147"/>
      <c r="M36" s="201" t="s">
        <v>174</v>
      </c>
      <c r="N36" s="202"/>
      <c r="O36" s="203" t="s">
        <v>175</v>
      </c>
      <c r="P36" s="204"/>
    </row>
    <row r="37" spans="1:16" ht="38.25" x14ac:dyDescent="0.2">
      <c r="A37" s="128" t="s">
        <v>167</v>
      </c>
      <c r="B37" s="165" t="s">
        <v>172</v>
      </c>
      <c r="C37" s="196" t="s">
        <v>141</v>
      </c>
      <c r="D37" s="197"/>
      <c r="E37" s="194" t="s">
        <v>178</v>
      </c>
      <c r="F37" s="139" t="s">
        <v>144</v>
      </c>
      <c r="G37" s="129" t="s">
        <v>157</v>
      </c>
      <c r="H37" s="132" t="s">
        <v>158</v>
      </c>
      <c r="I37" s="131" t="s">
        <v>157</v>
      </c>
      <c r="J37" s="132" t="s">
        <v>158</v>
      </c>
      <c r="K37" s="131" t="s">
        <v>157</v>
      </c>
      <c r="L37" s="129" t="s">
        <v>158</v>
      </c>
      <c r="M37" s="201"/>
      <c r="N37" s="202"/>
      <c r="O37" s="205"/>
      <c r="P37" s="206"/>
    </row>
    <row r="38" spans="1:16" x14ac:dyDescent="0.2">
      <c r="A38" s="191" t="s">
        <v>135</v>
      </c>
      <c r="B38" s="192"/>
      <c r="C38" s="198"/>
      <c r="D38" s="199"/>
      <c r="E38" s="195"/>
      <c r="F38" s="134" t="s">
        <v>145</v>
      </c>
      <c r="G38" s="133" t="s">
        <v>163</v>
      </c>
      <c r="H38" s="136" t="s">
        <v>162</v>
      </c>
      <c r="I38" s="135" t="s">
        <v>163</v>
      </c>
      <c r="J38" s="136" t="s">
        <v>162</v>
      </c>
      <c r="K38" s="135" t="s">
        <v>163</v>
      </c>
      <c r="L38" s="133" t="s">
        <v>162</v>
      </c>
      <c r="M38" s="165" t="s">
        <v>168</v>
      </c>
      <c r="N38" s="147" t="s">
        <v>169</v>
      </c>
      <c r="O38" s="165" t="s">
        <v>170</v>
      </c>
      <c r="P38" s="169" t="s">
        <v>171</v>
      </c>
    </row>
    <row r="39" spans="1:16" x14ac:dyDescent="0.2">
      <c r="A39" s="178">
        <v>0</v>
      </c>
      <c r="B39" s="165" t="s">
        <v>62</v>
      </c>
      <c r="C39" s="148" t="s">
        <v>136</v>
      </c>
      <c r="D39" s="149"/>
      <c r="E39" s="150">
        <v>0</v>
      </c>
      <c r="F39" s="150">
        <v>25</v>
      </c>
      <c r="G39" s="156"/>
      <c r="H39" s="157"/>
      <c r="I39" s="156"/>
      <c r="J39" s="157"/>
      <c r="K39" s="156"/>
      <c r="L39" s="163"/>
      <c r="M39" s="161"/>
      <c r="N39" s="157"/>
      <c r="O39" s="163"/>
      <c r="P39" s="177"/>
    </row>
    <row r="40" spans="1:16" x14ac:dyDescent="0.2">
      <c r="A40" s="122">
        <v>1</v>
      </c>
      <c r="B40" s="139">
        <v>14</v>
      </c>
      <c r="C40" s="137" t="s">
        <v>137</v>
      </c>
      <c r="D40" s="138"/>
      <c r="E40" s="140">
        <v>3.3</v>
      </c>
      <c r="F40" s="140">
        <v>23.2</v>
      </c>
      <c r="G40" s="137"/>
      <c r="H40" s="138"/>
      <c r="I40" s="137"/>
      <c r="J40" s="138"/>
      <c r="K40" s="179"/>
      <c r="L40" s="127"/>
      <c r="M40" s="152">
        <v>1.18E-2</v>
      </c>
      <c r="N40" s="154">
        <v>1.494</v>
      </c>
      <c r="O40" s="166">
        <v>5.0000000000000001E-4</v>
      </c>
      <c r="P40" s="170">
        <v>1.002</v>
      </c>
    </row>
    <row r="41" spans="1:16" x14ac:dyDescent="0.2">
      <c r="A41" s="142">
        <v>2</v>
      </c>
      <c r="B41" s="139">
        <v>15</v>
      </c>
      <c r="C41" s="137" t="s">
        <v>138</v>
      </c>
      <c r="D41" s="138"/>
      <c r="E41" s="140">
        <v>5.9</v>
      </c>
      <c r="F41" s="140">
        <v>-0.4</v>
      </c>
      <c r="G41" s="137"/>
      <c r="H41" s="138"/>
      <c r="I41" s="137"/>
      <c r="J41" s="138"/>
      <c r="K41" s="179"/>
      <c r="L41" s="127"/>
      <c r="M41" s="152">
        <v>1.34E-2</v>
      </c>
      <c r="N41" s="154">
        <v>1.5978000000000001</v>
      </c>
      <c r="O41" s="166">
        <v>1.1900000000000001E-2</v>
      </c>
      <c r="P41" s="170">
        <v>0.46850000000000003</v>
      </c>
    </row>
    <row r="42" spans="1:16" x14ac:dyDescent="0.2">
      <c r="A42" s="122">
        <v>3</v>
      </c>
      <c r="B42" s="139">
        <v>16</v>
      </c>
      <c r="C42" s="137" t="s">
        <v>139</v>
      </c>
      <c r="D42" s="138"/>
      <c r="E42" s="140">
        <v>7.7</v>
      </c>
      <c r="F42" s="140">
        <v>29.6</v>
      </c>
      <c r="G42" s="137"/>
      <c r="H42" s="138"/>
      <c r="I42" s="137"/>
      <c r="J42" s="138"/>
      <c r="K42" s="179"/>
      <c r="L42" s="127"/>
      <c r="M42" s="153">
        <v>3.9199999999999999E-2</v>
      </c>
      <c r="N42" s="155">
        <v>1.3431</v>
      </c>
      <c r="O42" s="166">
        <v>2.12E-2</v>
      </c>
      <c r="P42" s="170">
        <v>0.34889999999999999</v>
      </c>
    </row>
    <row r="43" spans="1:16" x14ac:dyDescent="0.2">
      <c r="A43" s="191" t="s">
        <v>140</v>
      </c>
      <c r="B43" s="192"/>
      <c r="C43" s="156"/>
      <c r="D43" s="157"/>
      <c r="E43" s="158"/>
      <c r="F43" s="158"/>
      <c r="G43" s="156"/>
      <c r="H43" s="157"/>
      <c r="I43" s="156"/>
      <c r="J43" s="183"/>
      <c r="K43" s="180"/>
      <c r="L43" s="160"/>
      <c r="M43" s="161"/>
      <c r="N43" s="162"/>
      <c r="O43" s="167"/>
      <c r="P43" s="171"/>
    </row>
    <row r="44" spans="1:16" x14ac:dyDescent="0.2">
      <c r="A44" s="122">
        <v>4</v>
      </c>
      <c r="B44" s="139">
        <v>17</v>
      </c>
      <c r="C44" s="137" t="s">
        <v>147</v>
      </c>
      <c r="D44" s="138"/>
      <c r="E44" s="140">
        <v>2.5</v>
      </c>
      <c r="F44" s="140">
        <v>17.7</v>
      </c>
      <c r="G44" s="141">
        <v>0.02</v>
      </c>
      <c r="H44" s="186">
        <v>40</v>
      </c>
      <c r="I44" s="179">
        <v>0.01</v>
      </c>
      <c r="J44" s="184" t="s">
        <v>159</v>
      </c>
      <c r="K44" s="182"/>
      <c r="L44" s="127"/>
      <c r="M44" s="152">
        <v>5.7999999999999996E-3</v>
      </c>
      <c r="N44" s="154">
        <v>1.5951</v>
      </c>
      <c r="O44" s="166">
        <v>1.0999999999999999E-2</v>
      </c>
      <c r="P44" s="170">
        <v>0.40210000000000001</v>
      </c>
    </row>
    <row r="45" spans="1:16" x14ac:dyDescent="0.2">
      <c r="A45" s="122">
        <v>5</v>
      </c>
      <c r="B45" s="139">
        <v>18</v>
      </c>
      <c r="C45" s="137" t="s">
        <v>148</v>
      </c>
      <c r="D45" s="138"/>
      <c r="E45" s="140">
        <v>4.4000000000000004</v>
      </c>
      <c r="F45" s="140">
        <v>-6</v>
      </c>
      <c r="G45" s="141">
        <v>7.0000000000000007E-2</v>
      </c>
      <c r="H45" s="186">
        <v>40</v>
      </c>
      <c r="I45" s="179">
        <v>0.02</v>
      </c>
      <c r="J45" s="184" t="s">
        <v>159</v>
      </c>
      <c r="K45" s="182"/>
      <c r="L45" s="127"/>
      <c r="M45" s="152">
        <v>7.4999999999999997E-3</v>
      </c>
      <c r="N45" s="154">
        <v>1.6228</v>
      </c>
      <c r="O45" s="166">
        <v>1.2E-2</v>
      </c>
      <c r="P45" s="170">
        <v>0.46179999999999999</v>
      </c>
    </row>
    <row r="46" spans="1:16" x14ac:dyDescent="0.2">
      <c r="A46" s="122">
        <v>6</v>
      </c>
      <c r="B46" s="139">
        <v>19</v>
      </c>
      <c r="C46" s="137" t="s">
        <v>149</v>
      </c>
      <c r="D46" s="138"/>
      <c r="E46" s="140">
        <v>2.5</v>
      </c>
      <c r="F46" s="140">
        <v>23.7</v>
      </c>
      <c r="G46" s="141">
        <v>0.02</v>
      </c>
      <c r="H46" s="186">
        <v>50</v>
      </c>
      <c r="I46" s="179">
        <v>0.01</v>
      </c>
      <c r="J46" s="184" t="s">
        <v>160</v>
      </c>
      <c r="K46" s="182"/>
      <c r="L46" s="127"/>
      <c r="M46" s="152">
        <v>3.7000000000000002E-3</v>
      </c>
      <c r="N46" s="154">
        <v>1.6758</v>
      </c>
      <c r="O46" s="166">
        <v>1.55E-2</v>
      </c>
      <c r="P46" s="170">
        <v>0.35139999999999999</v>
      </c>
    </row>
    <row r="47" spans="1:16" x14ac:dyDescent="0.2">
      <c r="A47" s="122">
        <v>7</v>
      </c>
      <c r="B47" s="139">
        <v>20</v>
      </c>
      <c r="C47" s="137" t="s">
        <v>150</v>
      </c>
      <c r="D47" s="138"/>
      <c r="E47" s="140">
        <v>4.4000000000000004</v>
      </c>
      <c r="F47" s="140">
        <v>7</v>
      </c>
      <c r="G47" s="141">
        <v>0.06</v>
      </c>
      <c r="H47" s="186">
        <v>120</v>
      </c>
      <c r="I47" s="179">
        <v>0.02</v>
      </c>
      <c r="J47" s="184" t="s">
        <v>161</v>
      </c>
      <c r="K47" s="182"/>
      <c r="L47" s="127"/>
      <c r="M47" s="152">
        <v>6.1999999999999998E-3</v>
      </c>
      <c r="N47" s="154">
        <v>1.651</v>
      </c>
      <c r="O47" s="166">
        <v>2.41E-2</v>
      </c>
      <c r="P47" s="170">
        <v>0.36320000000000002</v>
      </c>
    </row>
    <row r="48" spans="1:16" x14ac:dyDescent="0.2">
      <c r="A48" s="122">
        <v>8</v>
      </c>
      <c r="B48" s="139">
        <v>21</v>
      </c>
      <c r="C48" s="137" t="s">
        <v>151</v>
      </c>
      <c r="D48" s="138"/>
      <c r="E48" s="140">
        <v>5.2</v>
      </c>
      <c r="F48" s="140">
        <v>22.5</v>
      </c>
      <c r="G48" s="141">
        <v>0.02</v>
      </c>
      <c r="H48" s="186">
        <v>120</v>
      </c>
      <c r="I48" s="179">
        <v>6.0000000000000001E-3</v>
      </c>
      <c r="J48" s="184" t="s">
        <v>161</v>
      </c>
      <c r="K48" s="182"/>
      <c r="L48" s="127"/>
      <c r="M48" s="152">
        <v>8.6999999999999994E-3</v>
      </c>
      <c r="N48" s="154">
        <v>1.5942000000000001</v>
      </c>
      <c r="O48" s="166">
        <v>3.4500000000000003E-2</v>
      </c>
      <c r="P48" s="170">
        <v>0.28670000000000001</v>
      </c>
    </row>
    <row r="49" spans="1:16" x14ac:dyDescent="0.2">
      <c r="A49" s="193" t="s">
        <v>146</v>
      </c>
      <c r="B49" s="147"/>
      <c r="C49" s="156"/>
      <c r="D49" s="157"/>
      <c r="E49" s="158"/>
      <c r="F49" s="158"/>
      <c r="G49" s="159"/>
      <c r="H49" s="164"/>
      <c r="I49" s="180"/>
      <c r="J49" s="164"/>
      <c r="K49" s="180"/>
      <c r="L49" s="160"/>
      <c r="M49" s="161"/>
      <c r="N49" s="162"/>
      <c r="O49" s="167"/>
      <c r="P49" s="171"/>
    </row>
    <row r="50" spans="1:16" x14ac:dyDescent="0.2">
      <c r="A50" s="122">
        <v>9</v>
      </c>
      <c r="B50" s="139">
        <v>22</v>
      </c>
      <c r="C50" s="137" t="s">
        <v>152</v>
      </c>
      <c r="D50" s="138"/>
      <c r="E50" s="140">
        <v>3.6</v>
      </c>
      <c r="F50" s="140">
        <v>29</v>
      </c>
      <c r="G50" s="141">
        <v>-0.05</v>
      </c>
      <c r="H50" s="186">
        <v>65</v>
      </c>
      <c r="I50" s="179">
        <v>-0.02</v>
      </c>
      <c r="J50" s="184">
        <v>165</v>
      </c>
      <c r="K50" s="179">
        <v>-0.01</v>
      </c>
      <c r="L50" s="188" t="s">
        <v>164</v>
      </c>
      <c r="M50" s="152">
        <v>1.01E-2</v>
      </c>
      <c r="N50" s="154">
        <v>1.5481</v>
      </c>
      <c r="O50" s="166">
        <v>5.0000000000000001E-4</v>
      </c>
      <c r="P50" s="170">
        <v>0.98399999999999999</v>
      </c>
    </row>
    <row r="51" spans="1:16" x14ac:dyDescent="0.2">
      <c r="A51" s="122">
        <v>10</v>
      </c>
      <c r="B51" s="139">
        <v>23</v>
      </c>
      <c r="C51" s="137" t="s">
        <v>153</v>
      </c>
      <c r="D51" s="138"/>
      <c r="E51" s="140">
        <v>6.5</v>
      </c>
      <c r="F51" s="140">
        <v>2</v>
      </c>
      <c r="G51" s="141">
        <v>-0.02</v>
      </c>
      <c r="H51" s="186">
        <v>15</v>
      </c>
      <c r="I51" s="179">
        <v>-0.01</v>
      </c>
      <c r="J51" s="184">
        <v>25</v>
      </c>
      <c r="K51" s="179">
        <v>-4.0000000000000001E-3</v>
      </c>
      <c r="L51" s="188" t="s">
        <v>165</v>
      </c>
      <c r="M51" s="152">
        <v>1.8100000000000002E-2</v>
      </c>
      <c r="N51" s="154">
        <v>1.5073000000000001</v>
      </c>
      <c r="O51" s="166">
        <v>1.43E-2</v>
      </c>
      <c r="P51" s="170">
        <v>0.42930000000000001</v>
      </c>
    </row>
    <row r="52" spans="1:16" x14ac:dyDescent="0.2">
      <c r="A52" s="122">
        <v>11</v>
      </c>
      <c r="B52" s="139">
        <v>24</v>
      </c>
      <c r="C52" s="137" t="s">
        <v>154</v>
      </c>
      <c r="D52" s="138"/>
      <c r="E52" s="140">
        <v>3.6</v>
      </c>
      <c r="F52" s="140">
        <v>45</v>
      </c>
      <c r="G52" s="141">
        <v>-0.05</v>
      </c>
      <c r="H52" s="186">
        <v>75</v>
      </c>
      <c r="I52" s="179">
        <v>-0.02</v>
      </c>
      <c r="J52" s="184">
        <v>175</v>
      </c>
      <c r="K52" s="179">
        <v>-0.01</v>
      </c>
      <c r="L52" s="188" t="s">
        <v>166</v>
      </c>
      <c r="M52" s="152">
        <v>1.1900000000000001E-2</v>
      </c>
      <c r="N52" s="154">
        <v>1.5019</v>
      </c>
      <c r="O52" s="166">
        <v>5.0000000000000001E-4</v>
      </c>
      <c r="P52" s="170">
        <v>0.96779999999999999</v>
      </c>
    </row>
    <row r="53" spans="1:16" x14ac:dyDescent="0.2">
      <c r="A53" s="122">
        <v>12</v>
      </c>
      <c r="B53" s="139">
        <v>25</v>
      </c>
      <c r="C53" s="137" t="s">
        <v>155</v>
      </c>
      <c r="D53" s="138"/>
      <c r="E53" s="140">
        <v>6.5</v>
      </c>
      <c r="F53" s="140">
        <v>24.5</v>
      </c>
      <c r="G53" s="141">
        <v>-0.02</v>
      </c>
      <c r="H53" s="186">
        <v>20</v>
      </c>
      <c r="I53" s="179">
        <v>-0.01</v>
      </c>
      <c r="J53" s="184">
        <v>50</v>
      </c>
      <c r="K53" s="179">
        <v>-3.0000000000000001E-3</v>
      </c>
      <c r="L53" s="188" t="s">
        <v>160</v>
      </c>
      <c r="M53" s="152">
        <v>1.6799999999999999E-2</v>
      </c>
      <c r="N53" s="154">
        <v>1.5547</v>
      </c>
      <c r="O53" s="166">
        <v>8.0000000000000004E-4</v>
      </c>
      <c r="P53" s="170">
        <v>1.0143</v>
      </c>
    </row>
    <row r="54" spans="1:16" ht="13.5" thickBot="1" x14ac:dyDescent="0.25">
      <c r="A54" s="123">
        <v>13</v>
      </c>
      <c r="B54" s="172">
        <v>26</v>
      </c>
      <c r="C54" s="143" t="s">
        <v>156</v>
      </c>
      <c r="D54" s="144"/>
      <c r="E54" s="145">
        <v>7.7</v>
      </c>
      <c r="F54" s="145">
        <v>32.5</v>
      </c>
      <c r="G54" s="146">
        <v>-0.05</v>
      </c>
      <c r="H54" s="187">
        <v>20</v>
      </c>
      <c r="I54" s="181">
        <v>-0.02</v>
      </c>
      <c r="J54" s="185">
        <v>165</v>
      </c>
      <c r="K54" s="181">
        <v>-0.01</v>
      </c>
      <c r="L54" s="189" t="s">
        <v>164</v>
      </c>
      <c r="M54" s="173">
        <v>0.58399999999999996</v>
      </c>
      <c r="N54" s="174">
        <v>1.2710999999999999</v>
      </c>
      <c r="O54" s="175">
        <v>1.2999999999999999E-3</v>
      </c>
      <c r="P54" s="176">
        <v>0.95750000000000002</v>
      </c>
    </row>
    <row r="55" spans="1:16" x14ac:dyDescent="0.2">
      <c r="A55" s="112"/>
      <c r="B55" s="113"/>
      <c r="C55" s="113"/>
      <c r="D55" s="113"/>
      <c r="E55" s="190"/>
      <c r="F55" s="190"/>
      <c r="G55" s="113"/>
      <c r="H55" s="113"/>
      <c r="I55" s="113"/>
      <c r="J55" s="114"/>
    </row>
    <row r="56" spans="1:16" x14ac:dyDescent="0.2">
      <c r="A56" s="115"/>
      <c r="B56" s="116"/>
      <c r="C56" s="116"/>
      <c r="D56" s="116"/>
      <c r="E56" s="116"/>
      <c r="F56" s="116"/>
      <c r="G56" s="116"/>
      <c r="H56" s="116"/>
      <c r="I56" s="116"/>
      <c r="J56" s="117"/>
    </row>
    <row r="57" spans="1:16" x14ac:dyDescent="0.2">
      <c r="A57" s="115"/>
      <c r="B57" s="116"/>
      <c r="C57" s="116"/>
      <c r="D57" s="116"/>
      <c r="E57" s="116"/>
      <c r="F57" s="116"/>
      <c r="G57" s="116"/>
      <c r="H57" s="116"/>
      <c r="I57" s="116"/>
      <c r="J57" s="117"/>
    </row>
    <row r="58" spans="1:16" x14ac:dyDescent="0.2">
      <c r="A58" s="115"/>
      <c r="B58" s="116"/>
      <c r="C58" s="116"/>
      <c r="D58" s="116"/>
      <c r="E58" s="116"/>
      <c r="F58" s="116"/>
      <c r="G58" s="116"/>
      <c r="H58" s="116"/>
      <c r="I58" s="116"/>
      <c r="J58" s="117"/>
    </row>
    <row r="59" spans="1:16" x14ac:dyDescent="0.2">
      <c r="A59" s="115"/>
      <c r="B59" s="116"/>
      <c r="C59" s="116"/>
      <c r="D59" s="116"/>
      <c r="E59" s="116"/>
      <c r="F59" s="116"/>
      <c r="G59" s="116"/>
      <c r="H59" s="116"/>
      <c r="I59" s="116"/>
      <c r="J59" s="117"/>
    </row>
    <row r="60" spans="1:16" x14ac:dyDescent="0.2">
      <c r="A60" s="115"/>
      <c r="B60" s="116"/>
      <c r="C60" s="116"/>
      <c r="D60" s="116"/>
      <c r="E60" s="116"/>
      <c r="F60" s="116"/>
      <c r="G60" s="116"/>
      <c r="H60" s="116"/>
      <c r="I60" s="116"/>
      <c r="J60" s="117"/>
    </row>
    <row r="61" spans="1:16" x14ac:dyDescent="0.2">
      <c r="A61" s="115"/>
      <c r="B61" s="116"/>
      <c r="C61" s="116"/>
      <c r="D61" s="116"/>
      <c r="E61" s="116"/>
      <c r="F61" s="116"/>
      <c r="G61" s="116"/>
      <c r="H61" s="116"/>
      <c r="I61" s="116"/>
      <c r="J61" s="117"/>
    </row>
    <row r="62" spans="1:16" x14ac:dyDescent="0.2">
      <c r="A62" s="115"/>
      <c r="B62" s="116"/>
      <c r="C62" s="116"/>
      <c r="D62" s="116"/>
      <c r="E62" s="116"/>
      <c r="F62" s="116"/>
      <c r="G62" s="116"/>
      <c r="H62" s="116"/>
      <c r="I62" s="116"/>
      <c r="J62" s="117"/>
    </row>
    <row r="63" spans="1:16" x14ac:dyDescent="0.2">
      <c r="A63" s="115"/>
      <c r="B63" s="116"/>
      <c r="C63" s="116"/>
      <c r="D63" s="116"/>
      <c r="E63" s="116"/>
      <c r="F63" s="116"/>
      <c r="G63" s="116"/>
      <c r="H63" s="116"/>
      <c r="I63" s="116"/>
      <c r="J63" s="117"/>
    </row>
    <row r="64" spans="1:16" x14ac:dyDescent="0.2">
      <c r="A64" s="115"/>
      <c r="B64" s="116"/>
      <c r="C64" s="116"/>
      <c r="D64" s="116"/>
      <c r="E64" s="116"/>
      <c r="F64" s="116"/>
      <c r="G64" s="116"/>
      <c r="H64" s="116"/>
      <c r="I64" s="116"/>
      <c r="J64" s="117"/>
    </row>
    <row r="65" spans="1:10" x14ac:dyDescent="0.2">
      <c r="A65" s="115"/>
      <c r="B65" s="116"/>
      <c r="C65" s="116"/>
      <c r="D65" s="116"/>
      <c r="E65" s="116"/>
      <c r="F65" s="116"/>
      <c r="G65" s="116"/>
      <c r="H65" s="116"/>
      <c r="I65" s="116"/>
      <c r="J65" s="117"/>
    </row>
    <row r="66" spans="1:10" x14ac:dyDescent="0.2">
      <c r="A66" s="115"/>
      <c r="B66" s="116"/>
      <c r="C66" s="116"/>
      <c r="D66" s="116"/>
      <c r="E66" s="116"/>
      <c r="F66" s="116"/>
      <c r="G66" s="116"/>
      <c r="H66" s="116"/>
      <c r="I66" s="116"/>
      <c r="J66" s="117"/>
    </row>
    <row r="67" spans="1:10" x14ac:dyDescent="0.2">
      <c r="A67" s="115"/>
      <c r="B67" s="116"/>
      <c r="C67" s="116"/>
      <c r="D67" s="116"/>
      <c r="E67" s="116"/>
      <c r="F67" s="116"/>
      <c r="G67" s="116"/>
      <c r="H67" s="116"/>
      <c r="I67" s="116"/>
      <c r="J67" s="117"/>
    </row>
    <row r="68" spans="1:10" x14ac:dyDescent="0.2">
      <c r="A68" s="115"/>
      <c r="B68" s="116"/>
      <c r="C68" s="116"/>
      <c r="D68" s="116"/>
      <c r="E68" s="116"/>
      <c r="F68" s="116"/>
      <c r="G68" s="116"/>
      <c r="H68" s="116"/>
      <c r="I68" s="116"/>
      <c r="J68" s="117"/>
    </row>
    <row r="69" spans="1:10" x14ac:dyDescent="0.2">
      <c r="A69" s="115"/>
      <c r="B69" s="116"/>
      <c r="C69" s="116"/>
      <c r="D69" s="116"/>
      <c r="E69" s="116"/>
      <c r="F69" s="116"/>
      <c r="G69" s="116"/>
      <c r="H69" s="116"/>
      <c r="I69" s="116"/>
      <c r="J69" s="117"/>
    </row>
    <row r="70" spans="1:10" x14ac:dyDescent="0.2">
      <c r="A70" s="115"/>
      <c r="B70" s="116"/>
      <c r="C70" s="116"/>
      <c r="D70" s="116"/>
      <c r="E70" s="116"/>
      <c r="F70" s="116"/>
      <c r="G70" s="116"/>
      <c r="H70" s="116"/>
      <c r="I70" s="116"/>
      <c r="J70" s="117"/>
    </row>
    <row r="71" spans="1:10" x14ac:dyDescent="0.2">
      <c r="A71" s="115"/>
      <c r="B71" s="116"/>
      <c r="C71" s="116"/>
      <c r="D71" s="116"/>
      <c r="E71" s="116"/>
      <c r="F71" s="116"/>
      <c r="G71" s="116"/>
      <c r="H71" s="116"/>
      <c r="I71" s="116"/>
      <c r="J71" s="117"/>
    </row>
    <row r="72" spans="1:10" x14ac:dyDescent="0.2">
      <c r="A72" s="115"/>
      <c r="B72" s="116"/>
      <c r="C72" s="116"/>
      <c r="D72" s="116"/>
      <c r="E72" s="116"/>
      <c r="F72" s="116"/>
      <c r="G72" s="116"/>
      <c r="H72" s="116"/>
      <c r="I72" s="116"/>
      <c r="J72" s="117"/>
    </row>
    <row r="73" spans="1:10" x14ac:dyDescent="0.2">
      <c r="A73" s="115"/>
      <c r="B73" s="116"/>
      <c r="C73" s="116"/>
      <c r="D73" s="116"/>
      <c r="E73" s="116"/>
      <c r="F73" s="116"/>
      <c r="G73" s="116"/>
      <c r="H73" s="116"/>
      <c r="I73" s="116"/>
      <c r="J73" s="117"/>
    </row>
    <row r="74" spans="1:10" x14ac:dyDescent="0.2">
      <c r="A74" s="115"/>
      <c r="B74" s="116"/>
      <c r="C74" s="116"/>
      <c r="D74" s="116"/>
      <c r="E74" s="116"/>
      <c r="F74" s="116"/>
      <c r="G74" s="116"/>
      <c r="H74" s="116"/>
      <c r="I74" s="116"/>
      <c r="J74" s="117"/>
    </row>
    <row r="75" spans="1:10" x14ac:dyDescent="0.2">
      <c r="A75" s="115"/>
      <c r="B75" s="116"/>
      <c r="C75" s="116"/>
      <c r="D75" s="116"/>
      <c r="E75" s="116"/>
      <c r="F75" s="116"/>
      <c r="G75" s="116"/>
      <c r="H75" s="116"/>
      <c r="I75" s="116"/>
      <c r="J75" s="117"/>
    </row>
    <row r="76" spans="1:10" x14ac:dyDescent="0.2">
      <c r="A76" s="115"/>
      <c r="B76" s="116"/>
      <c r="C76" s="116"/>
      <c r="D76" s="116"/>
      <c r="E76" s="116"/>
      <c r="F76" s="116"/>
      <c r="G76" s="116"/>
      <c r="H76" s="116"/>
      <c r="I76" s="116"/>
      <c r="J76" s="117"/>
    </row>
    <row r="77" spans="1:10" x14ac:dyDescent="0.2">
      <c r="A77" s="115"/>
      <c r="B77" s="116"/>
      <c r="C77" s="116"/>
      <c r="D77" s="116"/>
      <c r="E77" s="116"/>
      <c r="F77" s="116"/>
      <c r="G77" s="116"/>
      <c r="H77" s="116"/>
      <c r="I77" s="116"/>
      <c r="J77" s="117"/>
    </row>
    <row r="78" spans="1:10" x14ac:dyDescent="0.2">
      <c r="A78" s="115"/>
      <c r="B78" s="116"/>
      <c r="C78" s="116"/>
      <c r="D78" s="116"/>
      <c r="E78" s="116"/>
      <c r="F78" s="116"/>
      <c r="G78" s="116"/>
      <c r="H78" s="116"/>
      <c r="I78" s="116"/>
      <c r="J78" s="117"/>
    </row>
    <row r="79" spans="1:10" x14ac:dyDescent="0.2">
      <c r="A79" s="115"/>
      <c r="B79" s="116"/>
      <c r="C79" s="116"/>
      <c r="D79" s="116"/>
      <c r="E79" s="116"/>
      <c r="F79" s="116"/>
      <c r="G79" s="116"/>
      <c r="H79" s="116"/>
      <c r="I79" s="116"/>
      <c r="J79" s="117"/>
    </row>
    <row r="80" spans="1:10" x14ac:dyDescent="0.2">
      <c r="A80" s="115"/>
      <c r="B80" s="116"/>
      <c r="C80" s="116"/>
      <c r="D80" s="116"/>
      <c r="E80" s="116"/>
      <c r="F80" s="116"/>
      <c r="G80" s="116"/>
      <c r="H80" s="116"/>
      <c r="I80" s="116"/>
      <c r="J80" s="117"/>
    </row>
    <row r="81" spans="1:10" x14ac:dyDescent="0.2">
      <c r="A81" s="115"/>
      <c r="B81" s="116"/>
      <c r="C81" s="116"/>
      <c r="D81" s="116"/>
      <c r="E81" s="116"/>
      <c r="F81" s="116"/>
      <c r="G81" s="116"/>
      <c r="H81" s="116"/>
      <c r="I81" s="116"/>
      <c r="J81" s="117"/>
    </row>
    <row r="82" spans="1:10" x14ac:dyDescent="0.2">
      <c r="A82" s="115"/>
      <c r="B82" s="116"/>
      <c r="C82" s="116"/>
      <c r="D82" s="116"/>
      <c r="E82" s="116"/>
      <c r="F82" s="116"/>
      <c r="G82" s="116"/>
      <c r="H82" s="116"/>
      <c r="I82" s="116"/>
      <c r="J82" s="117"/>
    </row>
    <row r="83" spans="1:10" x14ac:dyDescent="0.2">
      <c r="A83" s="115"/>
      <c r="B83" s="116"/>
      <c r="C83" s="116"/>
      <c r="D83" s="116"/>
      <c r="E83" s="116"/>
      <c r="F83" s="116"/>
      <c r="G83" s="116"/>
      <c r="H83" s="116"/>
      <c r="I83" s="116"/>
      <c r="J83" s="117"/>
    </row>
    <row r="84" spans="1:10" x14ac:dyDescent="0.2">
      <c r="A84" s="115"/>
      <c r="B84" s="116"/>
      <c r="C84" s="116"/>
      <c r="D84" s="116"/>
      <c r="E84" s="116"/>
      <c r="F84" s="116"/>
      <c r="G84" s="116"/>
      <c r="H84" s="116"/>
      <c r="I84" s="116"/>
      <c r="J84" s="117"/>
    </row>
    <row r="85" spans="1:10" x14ac:dyDescent="0.2">
      <c r="A85" s="115"/>
      <c r="B85" s="116"/>
      <c r="C85" s="116"/>
      <c r="D85" s="116"/>
      <c r="E85" s="116"/>
      <c r="F85" s="116"/>
      <c r="G85" s="116"/>
      <c r="H85" s="116"/>
      <c r="I85" s="116"/>
      <c r="J85" s="117"/>
    </row>
    <row r="86" spans="1:10" x14ac:dyDescent="0.2">
      <c r="A86" s="115"/>
      <c r="B86" s="116"/>
      <c r="C86" s="116"/>
      <c r="D86" s="116"/>
      <c r="E86" s="116"/>
      <c r="F86" s="116"/>
      <c r="G86" s="116"/>
      <c r="H86" s="116"/>
      <c r="I86" s="116"/>
      <c r="J86" s="117"/>
    </row>
    <row r="87" spans="1:10" x14ac:dyDescent="0.2">
      <c r="A87" s="115"/>
      <c r="B87" s="116"/>
      <c r="C87" s="116"/>
      <c r="D87" s="116"/>
      <c r="E87" s="116"/>
      <c r="F87" s="116"/>
      <c r="G87" s="116"/>
      <c r="H87" s="116"/>
      <c r="I87" s="116"/>
      <c r="J87" s="117"/>
    </row>
    <row r="88" spans="1:10" x14ac:dyDescent="0.2">
      <c r="A88" s="115"/>
      <c r="B88" s="116"/>
      <c r="C88" s="116"/>
      <c r="D88" s="116"/>
      <c r="E88" s="116"/>
      <c r="F88" s="116"/>
      <c r="G88" s="116"/>
      <c r="H88" s="116"/>
      <c r="I88" s="116"/>
      <c r="J88" s="117"/>
    </row>
    <row r="89" spans="1:10" x14ac:dyDescent="0.2">
      <c r="A89" s="115"/>
      <c r="B89" s="116"/>
      <c r="C89" s="116"/>
      <c r="D89" s="116"/>
      <c r="E89" s="116"/>
      <c r="F89" s="116"/>
      <c r="G89" s="116"/>
      <c r="H89" s="116"/>
      <c r="I89" s="116"/>
      <c r="J89" s="117"/>
    </row>
    <row r="90" spans="1:10" x14ac:dyDescent="0.2">
      <c r="A90" s="115"/>
      <c r="B90" s="116"/>
      <c r="C90" s="116"/>
      <c r="D90" s="116"/>
      <c r="E90" s="116"/>
      <c r="F90" s="116"/>
      <c r="G90" s="116"/>
      <c r="H90" s="116"/>
      <c r="I90" s="116"/>
      <c r="J90" s="117"/>
    </row>
    <row r="91" spans="1:10" x14ac:dyDescent="0.2">
      <c r="A91" s="115"/>
      <c r="B91" s="116"/>
      <c r="C91" s="116"/>
      <c r="D91" s="116"/>
      <c r="E91" s="116"/>
      <c r="F91" s="116"/>
      <c r="G91" s="116"/>
      <c r="H91" s="116"/>
      <c r="I91" s="116"/>
      <c r="J91" s="117"/>
    </row>
    <row r="92" spans="1:10" x14ac:dyDescent="0.2">
      <c r="A92" s="115"/>
      <c r="B92" s="116"/>
      <c r="C92" s="116"/>
      <c r="D92" s="116"/>
      <c r="E92" s="116"/>
      <c r="F92" s="116"/>
      <c r="G92" s="116"/>
      <c r="H92" s="116"/>
      <c r="I92" s="116"/>
      <c r="J92" s="117"/>
    </row>
    <row r="93" spans="1:10" x14ac:dyDescent="0.2">
      <c r="A93" s="115"/>
      <c r="B93" s="116"/>
      <c r="C93" s="116"/>
      <c r="D93" s="116"/>
      <c r="E93" s="116"/>
      <c r="F93" s="116"/>
      <c r="G93" s="116"/>
      <c r="H93" s="116"/>
      <c r="I93" s="116"/>
      <c r="J93" s="117"/>
    </row>
    <row r="94" spans="1:10" x14ac:dyDescent="0.2">
      <c r="A94" s="115"/>
      <c r="B94" s="116"/>
      <c r="C94" s="116"/>
      <c r="D94" s="116"/>
      <c r="E94" s="116"/>
      <c r="F94" s="116"/>
      <c r="G94" s="116"/>
      <c r="H94" s="116"/>
      <c r="I94" s="116"/>
      <c r="J94" s="117"/>
    </row>
    <row r="95" spans="1:10" x14ac:dyDescent="0.2">
      <c r="A95" s="115"/>
      <c r="B95" s="116"/>
      <c r="C95" s="116"/>
      <c r="D95" s="116"/>
      <c r="E95" s="116"/>
      <c r="F95" s="116"/>
      <c r="G95" s="116"/>
      <c r="H95" s="116"/>
      <c r="I95" s="116"/>
      <c r="J95" s="117"/>
    </row>
    <row r="96" spans="1:10" x14ac:dyDescent="0.2">
      <c r="A96" s="115"/>
      <c r="B96" s="116"/>
      <c r="C96" s="116"/>
      <c r="D96" s="116"/>
      <c r="E96" s="116"/>
      <c r="F96" s="116"/>
      <c r="G96" s="116"/>
      <c r="H96" s="116"/>
      <c r="I96" s="116"/>
      <c r="J96" s="117"/>
    </row>
    <row r="97" spans="1:10" x14ac:dyDescent="0.2">
      <c r="A97" s="115"/>
      <c r="B97" s="116"/>
      <c r="C97" s="116"/>
      <c r="D97" s="116"/>
      <c r="E97" s="116"/>
      <c r="F97" s="116"/>
      <c r="G97" s="116"/>
      <c r="H97" s="116"/>
      <c r="I97" s="116"/>
      <c r="J97" s="117"/>
    </row>
    <row r="98" spans="1:10" x14ac:dyDescent="0.2">
      <c r="A98" s="115"/>
      <c r="B98" s="116"/>
      <c r="C98" s="116"/>
      <c r="D98" s="116"/>
      <c r="E98" s="116"/>
      <c r="F98" s="116"/>
      <c r="G98" s="116"/>
      <c r="H98" s="116"/>
      <c r="I98" s="116"/>
      <c r="J98" s="117"/>
    </row>
    <row r="99" spans="1:10" x14ac:dyDescent="0.2">
      <c r="A99" s="115"/>
      <c r="B99" s="116"/>
      <c r="C99" s="116"/>
      <c r="D99" s="116"/>
      <c r="E99" s="116"/>
      <c r="F99" s="116"/>
      <c r="G99" s="116"/>
      <c r="H99" s="116"/>
      <c r="I99" s="116"/>
      <c r="J99" s="117"/>
    </row>
    <row r="100" spans="1:10" x14ac:dyDescent="0.2">
      <c r="A100" s="115"/>
      <c r="B100" s="116"/>
      <c r="C100" s="116"/>
      <c r="D100" s="116"/>
      <c r="E100" s="116"/>
      <c r="F100" s="116"/>
      <c r="G100" s="116"/>
      <c r="H100" s="116"/>
      <c r="I100" s="116"/>
      <c r="J100" s="117"/>
    </row>
    <row r="101" spans="1:10" x14ac:dyDescent="0.2">
      <c r="A101" s="115"/>
      <c r="B101" s="116"/>
      <c r="C101" s="116"/>
      <c r="D101" s="116"/>
      <c r="E101" s="116"/>
      <c r="F101" s="116"/>
      <c r="G101" s="116"/>
      <c r="H101" s="116"/>
      <c r="I101" s="116"/>
      <c r="J101" s="117"/>
    </row>
    <row r="102" spans="1:10" x14ac:dyDescent="0.2">
      <c r="A102" s="115"/>
      <c r="B102" s="116"/>
      <c r="C102" s="116"/>
      <c r="D102" s="116"/>
      <c r="E102" s="116"/>
      <c r="F102" s="116"/>
      <c r="G102" s="116"/>
      <c r="H102" s="116"/>
      <c r="I102" s="116"/>
      <c r="J102" s="117"/>
    </row>
    <row r="103" spans="1:10" x14ac:dyDescent="0.2">
      <c r="A103" s="115"/>
      <c r="B103" s="116"/>
      <c r="C103" s="116"/>
      <c r="D103" s="116"/>
      <c r="E103" s="116"/>
      <c r="F103" s="116"/>
      <c r="G103" s="116"/>
      <c r="H103" s="116"/>
      <c r="I103" s="116"/>
      <c r="J103" s="117"/>
    </row>
    <row r="104" spans="1:10" x14ac:dyDescent="0.2">
      <c r="A104" s="115"/>
      <c r="B104" s="116"/>
      <c r="C104" s="116"/>
      <c r="D104" s="116"/>
      <c r="E104" s="116"/>
      <c r="F104" s="116"/>
      <c r="G104" s="116"/>
      <c r="H104" s="116"/>
      <c r="I104" s="116"/>
      <c r="J104" s="117"/>
    </row>
    <row r="105" spans="1:10" x14ac:dyDescent="0.2">
      <c r="A105" s="115"/>
      <c r="B105" s="116"/>
      <c r="C105" s="116"/>
      <c r="D105" s="116"/>
      <c r="E105" s="116"/>
      <c r="F105" s="116"/>
      <c r="G105" s="116"/>
      <c r="H105" s="116"/>
      <c r="I105" s="116"/>
      <c r="J105" s="117"/>
    </row>
    <row r="106" spans="1:10" x14ac:dyDescent="0.2">
      <c r="A106" s="115"/>
      <c r="B106" s="116"/>
      <c r="C106" s="116"/>
      <c r="D106" s="116"/>
      <c r="E106" s="116"/>
      <c r="F106" s="116"/>
      <c r="G106" s="116"/>
      <c r="H106" s="116"/>
      <c r="I106" s="116"/>
      <c r="J106" s="117"/>
    </row>
    <row r="107" spans="1:10" x14ac:dyDescent="0.2">
      <c r="A107" s="115"/>
      <c r="B107" s="116"/>
      <c r="C107" s="116"/>
      <c r="D107" s="116"/>
      <c r="E107" s="116"/>
      <c r="F107" s="116"/>
      <c r="G107" s="116"/>
      <c r="H107" s="116"/>
      <c r="I107" s="116"/>
      <c r="J107" s="117"/>
    </row>
    <row r="108" spans="1:10" x14ac:dyDescent="0.2">
      <c r="A108" s="115"/>
      <c r="B108" s="116"/>
      <c r="C108" s="116"/>
      <c r="D108" s="116"/>
      <c r="E108" s="116"/>
      <c r="F108" s="116"/>
      <c r="G108" s="116"/>
      <c r="H108" s="116"/>
      <c r="I108" s="116"/>
      <c r="J108" s="117"/>
    </row>
    <row r="109" spans="1:10" x14ac:dyDescent="0.2">
      <c r="A109" s="115"/>
      <c r="B109" s="116"/>
      <c r="C109" s="116"/>
      <c r="D109" s="116"/>
      <c r="E109" s="116"/>
      <c r="F109" s="116"/>
      <c r="G109" s="116"/>
      <c r="H109" s="116"/>
      <c r="I109" s="116"/>
      <c r="J109" s="117"/>
    </row>
    <row r="110" spans="1:10" x14ac:dyDescent="0.2">
      <c r="A110" s="115"/>
      <c r="B110" s="116"/>
      <c r="C110" s="116"/>
      <c r="D110" s="116"/>
      <c r="E110" s="116"/>
      <c r="F110" s="116"/>
      <c r="G110" s="116"/>
      <c r="H110" s="116"/>
      <c r="I110" s="116"/>
      <c r="J110" s="117"/>
    </row>
    <row r="111" spans="1:10" x14ac:dyDescent="0.2">
      <c r="A111" s="115"/>
      <c r="B111" s="116"/>
      <c r="C111" s="116"/>
      <c r="D111" s="116"/>
      <c r="E111" s="116"/>
      <c r="F111" s="116"/>
      <c r="G111" s="116"/>
      <c r="H111" s="116"/>
      <c r="I111" s="116"/>
      <c r="J111" s="117"/>
    </row>
    <row r="112" spans="1:10" x14ac:dyDescent="0.2">
      <c r="A112" s="115"/>
      <c r="B112" s="116"/>
      <c r="C112" s="116"/>
      <c r="D112" s="116"/>
      <c r="E112" s="116"/>
      <c r="F112" s="116"/>
      <c r="G112" s="116"/>
      <c r="H112" s="116"/>
      <c r="I112" s="116"/>
      <c r="J112" s="117"/>
    </row>
    <row r="113" spans="1:10" x14ac:dyDescent="0.2">
      <c r="A113" s="115"/>
      <c r="B113" s="116"/>
      <c r="C113" s="116"/>
      <c r="D113" s="116"/>
      <c r="E113" s="116"/>
      <c r="F113" s="116"/>
      <c r="G113" s="116"/>
      <c r="H113" s="116"/>
      <c r="I113" s="116"/>
      <c r="J113" s="117"/>
    </row>
    <row r="114" spans="1:10" x14ac:dyDescent="0.2">
      <c r="A114" s="115"/>
      <c r="B114" s="116"/>
      <c r="C114" s="116"/>
      <c r="D114" s="116"/>
      <c r="E114" s="116"/>
      <c r="F114" s="116"/>
      <c r="G114" s="116"/>
      <c r="H114" s="116"/>
      <c r="I114" s="116"/>
      <c r="J114" s="117"/>
    </row>
    <row r="115" spans="1:10" x14ac:dyDescent="0.2">
      <c r="A115" s="115"/>
      <c r="B115" s="116"/>
      <c r="C115" s="116"/>
      <c r="D115" s="116"/>
      <c r="E115" s="116"/>
      <c r="F115" s="116"/>
      <c r="G115" s="116"/>
      <c r="H115" s="116"/>
      <c r="I115" s="116"/>
      <c r="J115" s="117"/>
    </row>
    <row r="116" spans="1:10" x14ac:dyDescent="0.2">
      <c r="A116" s="115"/>
      <c r="B116" s="116"/>
      <c r="C116" s="116"/>
      <c r="D116" s="116"/>
      <c r="E116" s="116"/>
      <c r="F116" s="116"/>
      <c r="G116" s="116"/>
      <c r="H116" s="116"/>
      <c r="I116" s="116"/>
      <c r="J116" s="117"/>
    </row>
    <row r="117" spans="1:10" x14ac:dyDescent="0.2">
      <c r="A117" s="115"/>
      <c r="B117" s="116"/>
      <c r="C117" s="116"/>
      <c r="D117" s="116"/>
      <c r="E117" s="116"/>
      <c r="F117" s="116"/>
      <c r="G117" s="116"/>
      <c r="H117" s="116"/>
      <c r="I117" s="116"/>
      <c r="J117" s="117"/>
    </row>
    <row r="118" spans="1:10" x14ac:dyDescent="0.2">
      <c r="A118" s="115"/>
      <c r="B118" s="116"/>
      <c r="C118" s="116"/>
      <c r="D118" s="116"/>
      <c r="E118" s="116"/>
      <c r="F118" s="116"/>
      <c r="G118" s="116"/>
      <c r="H118" s="116"/>
      <c r="I118" s="116"/>
      <c r="J118" s="117"/>
    </row>
    <row r="119" spans="1:10" x14ac:dyDescent="0.2">
      <c r="A119" s="115"/>
      <c r="B119" s="116"/>
      <c r="C119" s="116"/>
      <c r="D119" s="116"/>
      <c r="E119" s="116"/>
      <c r="F119" s="116"/>
      <c r="G119" s="116"/>
      <c r="H119" s="116"/>
      <c r="I119" s="116"/>
      <c r="J119" s="117"/>
    </row>
    <row r="120" spans="1:10" x14ac:dyDescent="0.2">
      <c r="A120" s="115"/>
      <c r="B120" s="116"/>
      <c r="C120" s="116"/>
      <c r="D120" s="116"/>
      <c r="E120" s="116"/>
      <c r="F120" s="116"/>
      <c r="G120" s="116"/>
      <c r="H120" s="116"/>
      <c r="I120" s="116"/>
      <c r="J120" s="117"/>
    </row>
    <row r="121" spans="1:10" x14ac:dyDescent="0.2">
      <c r="A121" s="115"/>
      <c r="B121" s="116"/>
      <c r="C121" s="116"/>
      <c r="D121" s="116"/>
      <c r="E121" s="116"/>
      <c r="F121" s="116"/>
      <c r="G121" s="116"/>
      <c r="H121" s="116"/>
      <c r="I121" s="116"/>
      <c r="J121" s="117"/>
    </row>
    <row r="122" spans="1:10" x14ac:dyDescent="0.2">
      <c r="A122" s="115"/>
      <c r="B122" s="116"/>
      <c r="C122" s="116"/>
      <c r="D122" s="116"/>
      <c r="E122" s="116"/>
      <c r="F122" s="116"/>
      <c r="G122" s="116"/>
      <c r="H122" s="116"/>
      <c r="I122" s="116"/>
      <c r="J122" s="117"/>
    </row>
    <row r="123" spans="1:10" x14ac:dyDescent="0.2">
      <c r="A123" s="115"/>
      <c r="B123" s="116"/>
      <c r="C123" s="116"/>
      <c r="D123" s="116"/>
      <c r="E123" s="116"/>
      <c r="F123" s="116"/>
      <c r="G123" s="116"/>
      <c r="H123" s="116"/>
      <c r="I123" s="116"/>
      <c r="J123" s="117"/>
    </row>
    <row r="124" spans="1:10" x14ac:dyDescent="0.2">
      <c r="A124" s="115"/>
      <c r="B124" s="116"/>
      <c r="C124" s="116"/>
      <c r="D124" s="116"/>
      <c r="E124" s="116"/>
      <c r="F124" s="116"/>
      <c r="G124" s="116"/>
      <c r="H124" s="116"/>
      <c r="I124" s="116"/>
      <c r="J124" s="117"/>
    </row>
    <row r="125" spans="1:10" x14ac:dyDescent="0.2">
      <c r="A125" s="115"/>
      <c r="B125" s="116"/>
      <c r="C125" s="116"/>
      <c r="D125" s="116"/>
      <c r="E125" s="116"/>
      <c r="F125" s="116"/>
      <c r="G125" s="116"/>
      <c r="H125" s="116"/>
      <c r="I125" s="116"/>
      <c r="J125" s="117"/>
    </row>
    <row r="126" spans="1:10" x14ac:dyDescent="0.2">
      <c r="A126" s="115"/>
      <c r="B126" s="116"/>
      <c r="C126" s="116"/>
      <c r="D126" s="116"/>
      <c r="E126" s="116"/>
      <c r="F126" s="116"/>
      <c r="G126" s="116"/>
      <c r="H126" s="116"/>
      <c r="I126" s="116"/>
      <c r="J126" s="117"/>
    </row>
    <row r="127" spans="1:10" x14ac:dyDescent="0.2">
      <c r="A127" s="115"/>
      <c r="B127" s="116"/>
      <c r="C127" s="116"/>
      <c r="D127" s="116"/>
      <c r="E127" s="116"/>
      <c r="F127" s="116"/>
      <c r="G127" s="116"/>
      <c r="H127" s="116"/>
      <c r="I127" s="116"/>
      <c r="J127" s="117"/>
    </row>
    <row r="128" spans="1:10" x14ac:dyDescent="0.2">
      <c r="A128" s="115"/>
      <c r="B128" s="116"/>
      <c r="C128" s="116"/>
      <c r="D128" s="116"/>
      <c r="E128" s="116"/>
      <c r="F128" s="116"/>
      <c r="G128" s="116"/>
      <c r="H128" s="116"/>
      <c r="I128" s="116"/>
      <c r="J128" s="117"/>
    </row>
    <row r="129" spans="1:10" x14ac:dyDescent="0.2">
      <c r="A129" s="115"/>
      <c r="B129" s="116"/>
      <c r="C129" s="116"/>
      <c r="D129" s="116"/>
      <c r="E129" s="116"/>
      <c r="F129" s="116"/>
      <c r="G129" s="116"/>
      <c r="H129" s="116"/>
      <c r="I129" s="116"/>
      <c r="J129" s="117"/>
    </row>
    <row r="130" spans="1:10" x14ac:dyDescent="0.2">
      <c r="A130" s="115"/>
      <c r="B130" s="116"/>
      <c r="C130" s="116"/>
      <c r="D130" s="116"/>
      <c r="E130" s="116"/>
      <c r="F130" s="116"/>
      <c r="G130" s="116"/>
      <c r="H130" s="116"/>
      <c r="I130" s="116"/>
      <c r="J130" s="117"/>
    </row>
    <row r="131" spans="1:10" x14ac:dyDescent="0.2">
      <c r="A131" s="115"/>
      <c r="B131" s="116"/>
      <c r="C131" s="116"/>
      <c r="D131" s="116"/>
      <c r="E131" s="116"/>
      <c r="F131" s="116"/>
      <c r="G131" s="116"/>
      <c r="H131" s="116"/>
      <c r="I131" s="116"/>
      <c r="J131" s="117"/>
    </row>
    <row r="132" spans="1:10" x14ac:dyDescent="0.2">
      <c r="A132" s="115"/>
      <c r="B132" s="116"/>
      <c r="C132" s="116"/>
      <c r="D132" s="116"/>
      <c r="E132" s="116"/>
      <c r="F132" s="116"/>
      <c r="G132" s="116"/>
      <c r="H132" s="116"/>
      <c r="I132" s="116"/>
      <c r="J132" s="117"/>
    </row>
    <row r="133" spans="1:10" x14ac:dyDescent="0.2">
      <c r="A133" s="115"/>
      <c r="B133" s="116"/>
      <c r="C133" s="116"/>
      <c r="D133" s="116"/>
      <c r="E133" s="116"/>
      <c r="F133" s="116"/>
      <c r="G133" s="116"/>
      <c r="H133" s="116"/>
      <c r="I133" s="116"/>
      <c r="J133" s="117"/>
    </row>
    <row r="134" spans="1:10" x14ac:dyDescent="0.2">
      <c r="A134" s="115"/>
      <c r="B134" s="116"/>
      <c r="C134" s="116"/>
      <c r="D134" s="116"/>
      <c r="E134" s="116"/>
      <c r="F134" s="116"/>
      <c r="G134" s="116"/>
      <c r="H134" s="116"/>
      <c r="I134" s="116"/>
      <c r="J134" s="117"/>
    </row>
    <row r="135" spans="1:10" x14ac:dyDescent="0.2">
      <c r="A135" s="115"/>
      <c r="B135" s="116"/>
      <c r="C135" s="116"/>
      <c r="D135" s="116"/>
      <c r="E135" s="116"/>
      <c r="F135" s="116"/>
      <c r="G135" s="116"/>
      <c r="H135" s="116"/>
      <c r="I135" s="116"/>
      <c r="J135" s="117"/>
    </row>
    <row r="136" spans="1:10" x14ac:dyDescent="0.2">
      <c r="A136" s="115"/>
      <c r="B136" s="116"/>
      <c r="C136" s="116"/>
      <c r="D136" s="116"/>
      <c r="E136" s="116"/>
      <c r="F136" s="116"/>
      <c r="G136" s="116"/>
      <c r="H136" s="116"/>
      <c r="I136" s="116"/>
      <c r="J136" s="117"/>
    </row>
    <row r="137" spans="1:10" x14ac:dyDescent="0.2">
      <c r="A137" s="115"/>
      <c r="B137" s="116"/>
      <c r="C137" s="116"/>
      <c r="D137" s="116"/>
      <c r="E137" s="116"/>
      <c r="F137" s="116"/>
      <c r="G137" s="116"/>
      <c r="H137" s="116"/>
      <c r="I137" s="116"/>
      <c r="J137" s="117"/>
    </row>
    <row r="138" spans="1:10" x14ac:dyDescent="0.2">
      <c r="A138" s="115"/>
      <c r="B138" s="116"/>
      <c r="C138" s="116"/>
      <c r="D138" s="116"/>
      <c r="E138" s="116"/>
      <c r="F138" s="116"/>
      <c r="G138" s="116"/>
      <c r="H138" s="116"/>
      <c r="I138" s="116"/>
      <c r="J138" s="117"/>
    </row>
    <row r="139" spans="1:10" x14ac:dyDescent="0.2">
      <c r="A139" s="115"/>
      <c r="B139" s="116"/>
      <c r="C139" s="116"/>
      <c r="D139" s="116"/>
      <c r="E139" s="116"/>
      <c r="F139" s="116"/>
      <c r="G139" s="116"/>
      <c r="H139" s="116"/>
      <c r="I139" s="116"/>
      <c r="J139" s="117"/>
    </row>
    <row r="140" spans="1:10" x14ac:dyDescent="0.2">
      <c r="A140" s="115"/>
      <c r="B140" s="116"/>
      <c r="C140" s="116"/>
      <c r="D140" s="116"/>
      <c r="E140" s="116"/>
      <c r="F140" s="116"/>
      <c r="G140" s="116"/>
      <c r="H140" s="116"/>
      <c r="I140" s="116"/>
      <c r="J140" s="117"/>
    </row>
    <row r="141" spans="1:10" x14ac:dyDescent="0.2">
      <c r="A141" s="115"/>
      <c r="B141" s="116"/>
      <c r="C141" s="116"/>
      <c r="D141" s="116"/>
      <c r="E141" s="116"/>
      <c r="F141" s="116"/>
      <c r="G141" s="116"/>
      <c r="H141" s="116"/>
      <c r="I141" s="116"/>
      <c r="J141" s="117"/>
    </row>
    <row r="142" spans="1:10" x14ac:dyDescent="0.2">
      <c r="A142" s="115"/>
      <c r="B142" s="116"/>
      <c r="C142" s="116"/>
      <c r="D142" s="116"/>
      <c r="E142" s="116"/>
      <c r="F142" s="116"/>
      <c r="G142" s="116"/>
      <c r="H142" s="116"/>
      <c r="I142" s="116"/>
      <c r="J142" s="117"/>
    </row>
    <row r="143" spans="1:10" ht="13.5" thickBot="1" x14ac:dyDescent="0.25">
      <c r="A143" s="118"/>
      <c r="B143" s="119"/>
      <c r="C143" s="119"/>
      <c r="D143" s="119"/>
      <c r="E143" s="119"/>
      <c r="F143" s="119"/>
      <c r="G143" s="119"/>
      <c r="H143" s="119"/>
      <c r="I143" s="119"/>
      <c r="J143" s="120"/>
    </row>
  </sheetData>
  <mergeCells count="11">
    <mergeCell ref="A35:P35"/>
    <mergeCell ref="M26:T28"/>
    <mergeCell ref="M24:T25"/>
    <mergeCell ref="M29:T30"/>
    <mergeCell ref="M7:T7"/>
    <mergeCell ref="M1:O2"/>
    <mergeCell ref="P1:Q2"/>
    <mergeCell ref="R1:S2"/>
    <mergeCell ref="P3:Q5"/>
    <mergeCell ref="R3:S5"/>
    <mergeCell ref="M31:T32"/>
  </mergeCells>
  <phoneticPr fontId="5" type="noConversion"/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L34" sqref="L34"/>
    </sheetView>
  </sheetViews>
  <sheetFormatPr defaultRowHeight="12.75" x14ac:dyDescent="0.2"/>
  <sheetData/>
  <phoneticPr fontId="5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5"/>
  <sheetViews>
    <sheetView workbookViewId="0">
      <selection sqref="A1:E25"/>
    </sheetView>
  </sheetViews>
  <sheetFormatPr defaultRowHeight="12.75" x14ac:dyDescent="0.2"/>
  <sheetData>
    <row r="1" spans="1:5" x14ac:dyDescent="0.2">
      <c r="A1" s="6" t="s">
        <v>1</v>
      </c>
      <c r="B1" s="72" t="s">
        <v>49</v>
      </c>
      <c r="C1" s="6" t="s">
        <v>48</v>
      </c>
      <c r="D1" s="6" t="s">
        <v>50</v>
      </c>
      <c r="E1" s="6" t="s">
        <v>95</v>
      </c>
    </row>
    <row r="2" spans="1:5" x14ac:dyDescent="0.2">
      <c r="A2" s="67">
        <v>50</v>
      </c>
      <c r="B2" s="64">
        <v>53.599998474121094</v>
      </c>
      <c r="C2" s="65">
        <v>51</v>
      </c>
      <c r="D2" s="7">
        <v>41.700000762939453</v>
      </c>
      <c r="E2" s="66">
        <v>34.794212341308594</v>
      </c>
    </row>
    <row r="3" spans="1:5" x14ac:dyDescent="0.2">
      <c r="A3" s="67">
        <v>63</v>
      </c>
      <c r="B3" s="64">
        <v>57.299999237060547</v>
      </c>
      <c r="C3" s="65">
        <v>51</v>
      </c>
      <c r="D3" s="7">
        <v>35.599998474121094</v>
      </c>
      <c r="E3" s="66">
        <v>38.380912780761719</v>
      </c>
    </row>
    <row r="4" spans="1:5" x14ac:dyDescent="0.2">
      <c r="A4" s="67">
        <v>80</v>
      </c>
      <c r="B4" s="64">
        <v>60.900001525878906</v>
      </c>
      <c r="C4" s="65">
        <v>51</v>
      </c>
      <c r="D4" s="7">
        <v>29.799999237060547</v>
      </c>
      <c r="E4" s="66">
        <v>41.730415344238281</v>
      </c>
    </row>
    <row r="5" spans="1:5" x14ac:dyDescent="0.2">
      <c r="A5" s="67">
        <v>100</v>
      </c>
      <c r="B5" s="64">
        <v>69.800003051757813</v>
      </c>
      <c r="C5" s="65">
        <v>50</v>
      </c>
      <c r="D5" s="7">
        <v>25.100000381469727</v>
      </c>
      <c r="E5" s="66">
        <v>50.169338226318359</v>
      </c>
    </row>
    <row r="6" spans="1:5" x14ac:dyDescent="0.2">
      <c r="A6" s="67">
        <v>125</v>
      </c>
      <c r="B6" s="64">
        <v>68.199996948242188</v>
      </c>
      <c r="C6" s="65">
        <v>50</v>
      </c>
      <c r="D6" s="7">
        <v>20.799999237060547</v>
      </c>
      <c r="E6" s="66">
        <v>47.712684631347656</v>
      </c>
    </row>
    <row r="7" spans="1:5" x14ac:dyDescent="0.2">
      <c r="A7" s="67">
        <v>160</v>
      </c>
      <c r="B7" s="64">
        <v>69.599998474121094</v>
      </c>
      <c r="C7" s="65">
        <v>49</v>
      </c>
      <c r="D7" s="7">
        <v>16.799999237060547</v>
      </c>
      <c r="E7" s="66">
        <v>47.341743469238281</v>
      </c>
    </row>
    <row r="8" spans="1:5" x14ac:dyDescent="0.2">
      <c r="A8" s="67">
        <v>200</v>
      </c>
      <c r="B8" s="64">
        <v>59</v>
      </c>
      <c r="C8" s="65">
        <v>48</v>
      </c>
      <c r="D8" s="7">
        <v>13.800000190734863</v>
      </c>
      <c r="E8" s="66">
        <v>33.862159729003906</v>
      </c>
    </row>
    <row r="9" spans="1:5" x14ac:dyDescent="0.2">
      <c r="A9" s="67">
        <v>250</v>
      </c>
      <c r="B9" s="64">
        <v>56.700000762939453</v>
      </c>
      <c r="C9" s="65">
        <v>47</v>
      </c>
      <c r="D9" s="7">
        <v>11.199999809265137</v>
      </c>
      <c r="E9" s="66">
        <v>26.831394195556641</v>
      </c>
    </row>
    <row r="10" spans="1:5" x14ac:dyDescent="0.2">
      <c r="A10" s="67">
        <v>315</v>
      </c>
      <c r="B10" s="64">
        <v>55.099998474121094</v>
      </c>
      <c r="C10" s="65">
        <v>46</v>
      </c>
      <c r="D10" s="7">
        <v>9</v>
      </c>
      <c r="E10" s="66">
        <v>18.763389587402344</v>
      </c>
    </row>
    <row r="11" spans="1:5" x14ac:dyDescent="0.2">
      <c r="A11" s="67">
        <v>400</v>
      </c>
      <c r="B11" s="64">
        <v>57.400001525878906</v>
      </c>
      <c r="C11" s="65">
        <v>45</v>
      </c>
      <c r="D11" s="7">
        <v>7.1999998092651367</v>
      </c>
      <c r="E11" s="66">
        <v>23.087509155273438</v>
      </c>
    </row>
    <row r="12" spans="1:5" x14ac:dyDescent="0.2">
      <c r="A12" s="67">
        <v>500</v>
      </c>
      <c r="B12" s="64">
        <v>56</v>
      </c>
      <c r="C12" s="65">
        <v>44</v>
      </c>
      <c r="D12" s="7">
        <v>6</v>
      </c>
      <c r="E12" s="66">
        <v>26.506084442138672</v>
      </c>
    </row>
    <row r="13" spans="1:5" x14ac:dyDescent="0.2">
      <c r="A13" s="67">
        <v>630</v>
      </c>
      <c r="B13" s="64">
        <v>54.900001525878906</v>
      </c>
      <c r="C13" s="65">
        <v>42</v>
      </c>
      <c r="D13" s="7">
        <v>5</v>
      </c>
      <c r="E13" s="66">
        <v>26.592258453369141</v>
      </c>
    </row>
    <row r="14" spans="1:5" x14ac:dyDescent="0.2">
      <c r="A14" s="67">
        <v>800</v>
      </c>
      <c r="B14" s="64">
        <v>51</v>
      </c>
      <c r="C14" s="65">
        <v>40</v>
      </c>
      <c r="D14" s="7">
        <v>4.4000000953674316</v>
      </c>
      <c r="E14" s="66">
        <v>21.093564987182617</v>
      </c>
    </row>
    <row r="15" spans="1:5" x14ac:dyDescent="0.2">
      <c r="A15" s="67">
        <v>1000</v>
      </c>
      <c r="B15" s="64">
        <v>48.900001525878906</v>
      </c>
      <c r="C15" s="65">
        <v>38</v>
      </c>
      <c r="D15" s="7">
        <v>4.1999998092651367</v>
      </c>
      <c r="E15" s="66">
        <v>17.937606811523438</v>
      </c>
    </row>
    <row r="16" spans="1:5" x14ac:dyDescent="0.2">
      <c r="A16" s="67">
        <v>1250</v>
      </c>
      <c r="B16" s="64">
        <v>46.700000762939453</v>
      </c>
      <c r="C16" s="65">
        <v>36</v>
      </c>
      <c r="D16" s="7">
        <v>3.7999999523162842</v>
      </c>
      <c r="E16" s="66">
        <v>15.272600173950195</v>
      </c>
    </row>
    <row r="17" spans="1:5" x14ac:dyDescent="0.2">
      <c r="A17" s="67">
        <v>1600</v>
      </c>
      <c r="B17" s="64">
        <v>45</v>
      </c>
      <c r="C17" s="65">
        <v>34</v>
      </c>
      <c r="D17" s="7">
        <v>2.5999999046325684</v>
      </c>
      <c r="E17" s="66">
        <v>13.736351013183594</v>
      </c>
    </row>
    <row r="18" spans="1:5" x14ac:dyDescent="0.2">
      <c r="A18" s="67">
        <v>2000</v>
      </c>
      <c r="B18" s="64">
        <v>42.900001525878906</v>
      </c>
      <c r="C18" s="65">
        <v>32</v>
      </c>
      <c r="D18" s="7">
        <v>1</v>
      </c>
      <c r="E18" s="66">
        <v>12.5704345703125</v>
      </c>
    </row>
    <row r="19" spans="1:5" x14ac:dyDescent="0.2">
      <c r="A19" s="67">
        <v>2500</v>
      </c>
      <c r="B19" s="64">
        <v>40.700000762939453</v>
      </c>
      <c r="C19" s="65">
        <v>29</v>
      </c>
      <c r="D19" s="7">
        <v>-1.2000000476837158</v>
      </c>
      <c r="E19" s="66">
        <v>12.596036911010742</v>
      </c>
    </row>
    <row r="20" spans="1:5" x14ac:dyDescent="0.2">
      <c r="A20" s="67">
        <v>3150</v>
      </c>
      <c r="B20" s="64">
        <v>37.900001525878906</v>
      </c>
      <c r="C20" s="65">
        <v>26</v>
      </c>
      <c r="D20" s="7">
        <v>-3.5</v>
      </c>
      <c r="E20" s="66">
        <v>15.253355026245117</v>
      </c>
    </row>
    <row r="21" spans="1:5" x14ac:dyDescent="0.2">
      <c r="A21" s="67">
        <v>4000</v>
      </c>
      <c r="B21" s="64">
        <v>35.900001525878906</v>
      </c>
      <c r="C21" s="65">
        <v>23</v>
      </c>
      <c r="D21" s="7">
        <v>-3.9000000953674316</v>
      </c>
      <c r="E21" s="66">
        <v>14.677539825439453</v>
      </c>
    </row>
    <row r="22" spans="1:5" x14ac:dyDescent="0.2">
      <c r="A22" s="67">
        <v>5000</v>
      </c>
      <c r="B22" s="64">
        <v>33.900001525878906</v>
      </c>
      <c r="C22" s="65">
        <v>20</v>
      </c>
      <c r="D22" s="7">
        <v>-1.1000000238418579</v>
      </c>
      <c r="E22" s="66">
        <v>4.7163009643554688</v>
      </c>
    </row>
    <row r="23" spans="1:5" x14ac:dyDescent="0.2">
      <c r="A23" s="67">
        <v>6300</v>
      </c>
      <c r="B23" s="64">
        <v>32.700000762939453</v>
      </c>
      <c r="C23" s="65">
        <v>16</v>
      </c>
      <c r="D23" s="7">
        <v>6.5</v>
      </c>
      <c r="E23" s="66">
        <v>2.3567142486572266</v>
      </c>
    </row>
    <row r="24" spans="1:5" x14ac:dyDescent="0.2">
      <c r="A24" s="67">
        <v>8000</v>
      </c>
      <c r="B24" s="64">
        <v>31</v>
      </c>
      <c r="C24" s="65">
        <v>11</v>
      </c>
      <c r="D24" s="7">
        <v>15.300000190734863</v>
      </c>
      <c r="E24" s="66">
        <v>-6.0358467102050781</v>
      </c>
    </row>
    <row r="25" spans="1:5" x14ac:dyDescent="0.2">
      <c r="A25" s="68">
        <v>10000</v>
      </c>
      <c r="B25" s="69">
        <v>29.399999618530273</v>
      </c>
      <c r="C25" s="70">
        <v>11</v>
      </c>
      <c r="D25" s="14">
        <v>16.399999618530273</v>
      </c>
      <c r="E25" s="71">
        <v>-17.275720596313477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Model</vt:lpstr>
      <vt:lpstr>Data</vt:lpstr>
      <vt:lpstr>Info</vt:lpstr>
      <vt:lpstr>Chart 2</vt:lpstr>
      <vt:lpstr>ML Data</vt:lpstr>
      <vt:lpstr>Chart 1</vt:lpstr>
      <vt:lpstr>Info!OLE_LINK1</vt:lpstr>
    </vt:vector>
  </TitlesOfParts>
  <Company>ARL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Peter Han</cp:lastModifiedBy>
  <cp:lastPrinted>2006-12-19T16:26:36Z</cp:lastPrinted>
  <dcterms:created xsi:type="dcterms:W3CDTF">2004-07-12T17:57:11Z</dcterms:created>
  <dcterms:modified xsi:type="dcterms:W3CDTF">2023-02-07T22:13:48Z</dcterms:modified>
</cp:coreProperties>
</file>